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2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itHub\Siri_interprint_Estimate_MI2\"/>
    </mc:Choice>
  </mc:AlternateContent>
  <xr:revisionPtr revIDLastSave="0" documentId="13_ncr:1_{EAAED369-3D67-4B26-8E01-251B29F19561}" xr6:coauthVersionLast="47" xr6:coauthVersionMax="47" xr10:uidLastSave="{00000000-0000-0000-0000-000000000000}"/>
  <bookViews>
    <workbookView xWindow="-28920" yWindow="-120" windowWidth="29040" windowHeight="15720" tabRatio="780" firstSheet="5" activeTab="10" xr2:uid="{2CF4C729-DE4F-435F-B5B7-05BD9BC7401D}"/>
  </bookViews>
  <sheets>
    <sheet name="Sheet1" sheetId="1" state="hidden" r:id="rId1"/>
    <sheet name="Sheet2" sheetId="2" state="hidden" r:id="rId2"/>
    <sheet name="QC" sheetId="11" state="hidden" r:id="rId3"/>
    <sheet name="QA" sheetId="6" state="hidden" r:id="rId4"/>
    <sheet name="database" sheetId="8" state="hidden" r:id="rId5"/>
    <sheet name="User Requirement" sheetId="12" r:id="rId6"/>
    <sheet name="User Diagrams" sheetId="21" r:id="rId7"/>
    <sheet name="Activity Diagrams" sheetId="22" r:id="rId8"/>
    <sheet name="Data Dictionary " sheetId="18" r:id="rId9"/>
    <sheet name="Master Data" sheetId="19" r:id="rId10"/>
    <sheet name="New required &amp; Bug" sheetId="2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6" l="1"/>
  <c r="H13" i="8"/>
  <c r="K13" i="8"/>
  <c r="J13" i="8"/>
  <c r="I13" i="8"/>
  <c r="D13" i="8"/>
  <c r="L7" i="8"/>
  <c r="H7" i="8" s="1"/>
  <c r="I7" i="8" s="1"/>
  <c r="L6" i="8"/>
  <c r="H6" i="8" s="1"/>
  <c r="I6" i="8" s="1"/>
  <c r="S10" i="8"/>
  <c r="L5" i="8"/>
  <c r="H5" i="8" s="1"/>
  <c r="I5" i="8" s="1"/>
  <c r="L4" i="8"/>
  <c r="H4" i="8" s="1"/>
  <c r="I4" i="8" s="1"/>
  <c r="H3" i="8"/>
  <c r="L3" i="8"/>
  <c r="I3" i="8" s="1"/>
  <c r="A2" i="8"/>
  <c r="D2" i="8"/>
  <c r="J19" i="6"/>
  <c r="I19" i="11"/>
  <c r="D20" i="6"/>
  <c r="D21" i="6"/>
  <c r="D19" i="6"/>
  <c r="D20" i="11"/>
  <c r="D21" i="11"/>
  <c r="D19" i="11"/>
  <c r="E20" i="6"/>
  <c r="E21" i="6"/>
  <c r="E19" i="6"/>
  <c r="E20" i="11"/>
  <c r="E21" i="11"/>
  <c r="E19" i="11"/>
  <c r="K2" i="8" l="1"/>
  <c r="J12" i="8" s="1"/>
  <c r="J2" i="8"/>
  <c r="G2" i="8"/>
  <c r="D12" i="8" s="1"/>
  <c r="G13" i="8"/>
  <c r="E13" i="8"/>
  <c r="L2" i="8" l="1"/>
  <c r="H2" i="8" s="1"/>
  <c r="I12" i="8"/>
  <c r="D31" i="6"/>
  <c r="D28" i="6"/>
  <c r="D25" i="11"/>
  <c r="J21" i="11"/>
  <c r="I21" i="11"/>
  <c r="C21" i="11"/>
  <c r="J20" i="11"/>
  <c r="I20" i="11"/>
  <c r="C20" i="11"/>
  <c r="J19" i="11"/>
  <c r="C19" i="11"/>
  <c r="D14" i="11"/>
  <c r="H13" i="11"/>
  <c r="F13" i="11"/>
  <c r="D13" i="11"/>
  <c r="J12" i="11"/>
  <c r="F21" i="11" s="1"/>
  <c r="F12" i="11"/>
  <c r="D12" i="11"/>
  <c r="K10" i="11"/>
  <c r="A4" i="11"/>
  <c r="D25" i="6"/>
  <c r="J20" i="6"/>
  <c r="J21" i="6"/>
  <c r="I20" i="6"/>
  <c r="I21" i="6"/>
  <c r="I19" i="6"/>
  <c r="C20" i="6"/>
  <c r="C21" i="6"/>
  <c r="C19" i="6"/>
  <c r="J12" i="6"/>
  <c r="H13" i="6"/>
  <c r="F13" i="6"/>
  <c r="F12" i="6"/>
  <c r="D14" i="6"/>
  <c r="D13" i="6"/>
  <c r="D12" i="6"/>
  <c r="O1" i="8"/>
  <c r="Q10" i="8"/>
  <c r="K12" i="8" l="1"/>
  <c r="E2" i="8"/>
  <c r="F2" i="8"/>
  <c r="J13" i="6"/>
  <c r="I2" i="8"/>
  <c r="G12" i="8" s="1"/>
  <c r="H12" i="8" s="1"/>
  <c r="E12" i="8"/>
  <c r="J13" i="11"/>
  <c r="F19" i="11"/>
  <c r="F20" i="11"/>
  <c r="F34" i="6"/>
  <c r="F20" i="6"/>
  <c r="F21" i="6"/>
  <c r="F19" i="6"/>
  <c r="K10" i="6"/>
  <c r="A4" i="6"/>
  <c r="C2" i="8" l="1"/>
  <c r="K13" i="11"/>
  <c r="K13" i="6"/>
  <c r="B2" i="8"/>
  <c r="F14" i="11"/>
  <c r="F14" i="6"/>
  <c r="H12" i="11"/>
  <c r="H1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tc={C2860FFD-A6D8-44A2-8AD3-202BEA959D77}</author>
    <author>tc={7F41CD3A-C5D8-4B3A-B423-C17F7475A12D}</author>
    <author>tc={C9BB9D4D-B693-4601-82D6-3A4E6C018160}</author>
    <author>tc={E16F851B-F354-4402-8CFD-5D0A4908B9D1}</author>
  </authors>
  <commentList>
    <comment ref="D18" authorId="0" shapeId="0" xr:uid="{C2860FFD-A6D8-44A2-8AD3-202BEA959D77}">
      <text>
        <t>[Threaded comment]
Your version of Excel allows you to read this threaded comment; however, any edits to it will get removed if the file is opened in a newer version of Excel. Learn more: https://go.microsoft.com/fwlink/?linkid=870924
Comment:
    กรณีทั่วไปใช้</t>
      </text>
    </comment>
    <comment ref="E18" authorId="1" shapeId="0" xr:uid="{7F41CD3A-C5D8-4B3A-B423-C17F7475A12D}">
      <text>
        <t>[Threaded comment]
Your version of Excel allows you to read this threaded comment; however, any edits to it will get removed if the file is opened in a newer version of Excel. Learn more: https://go.microsoft.com/fwlink/?linkid=870924
Comment:
    กรณีเป็นสินค้าสำเร็จรูป</t>
      </text>
    </comment>
    <comment ref="D25" authorId="2" shapeId="0" xr:uid="{C9BB9D4D-B693-4601-82D6-3A4E6C018160}">
      <text>
        <t>[Threaded comment]
Your version of Excel allows you to read this threaded comment; however, any edits to it will get removed if the file is opened in a newer version of Excel. Learn more: https://go.microsoft.com/fwlink/?linkid=870924
Comment:
    ชื่อผู้จัดการที่ login เข้า MI</t>
      </text>
    </comment>
    <comment ref="D28" authorId="3" shapeId="0" xr:uid="{E16F851B-F354-4402-8CFD-5D0A4908B9D1}">
      <text>
        <t>[Threaded comment]
Your version of Excel allows you to read this threaded comment; however, any edits to it will get removed if the file is opened in a newer version of Excel. Learn more: https://go.microsoft.com/fwlink/?linkid=870924
Comment:
    คนละคนกับผจก.คนละสิทธ์การเข้าถึง ถึงจะเป็นคนเดียวกันก็ต้องคนละสิทธิ์การเข้าถึง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tc={A1DB3F47-3EB2-4165-9C5D-95BF995ADF90}</author>
    <author>tc={77C3F9E2-3423-459A-A525-34AC6874F6EB}</author>
    <author>tc={04E53BCA-932C-4496-AE4D-265DE9ECFB74}</author>
    <author>tc={4A934E7B-EECA-4439-B554-882B6A8BD7B8}</author>
    <author>tc={0D7AB065-FB7E-4637-9564-5EB7137E0954}</author>
  </authors>
  <commentList>
    <comment ref="D18" authorId="0" shapeId="0" xr:uid="{A1DB3F47-3EB2-4165-9C5D-95BF995ADF90}">
      <text>
        <t>[Threaded comment]
Your version of Excel allows you to read this threaded comment; however, any edits to it will get removed if the file is opened in a newer version of Excel. Learn more: https://go.microsoft.com/fwlink/?linkid=870924
Comment:
    กรณีทั่วไปใช้</t>
      </text>
    </comment>
    <comment ref="E18" authorId="1" shapeId="0" xr:uid="{77C3F9E2-3423-459A-A525-34AC6874F6EB}">
      <text>
        <t>[Threaded comment]
Your version of Excel allows you to read this threaded comment; however, any edits to it will get removed if the file is opened in a newer version of Excel. Learn more: https://go.microsoft.com/fwlink/?linkid=870924
Comment:
    กรณีเป็นสินค้าสำเร็จรูป</t>
      </text>
    </comment>
    <comment ref="D25" authorId="2" shapeId="0" xr:uid="{04E53BCA-932C-4496-AE4D-265DE9ECFB74}">
      <text>
        <t>[Threaded comment]
Your version of Excel allows you to read this threaded comment; however, any edits to it will get removed if the file is opened in a newer version of Excel. Learn more: https://go.microsoft.com/fwlink/?linkid=870924
Comment:
    ชื่อผู้จัดการที่ login เข้า MI</t>
      </text>
    </comment>
    <comment ref="D28" authorId="3" shapeId="0" xr:uid="{4A934E7B-EECA-4439-B554-882B6A8BD7B8}">
      <text>
        <t>[Threaded comment]
Your version of Excel allows you to read this threaded comment; however, any edits to it will get removed if the file is opened in a newer version of Excel. Learn more: https://go.microsoft.com/fwlink/?linkid=870924
Comment:
    คนละคนกับผจก.คนละสิทธ์การเข้าถึง ถึงจะเป็นคนเดียวกันก็ต้องคนละสิทธิ์การเข้าถึง</t>
      </text>
    </comment>
    <comment ref="D34" authorId="4" shapeId="0" xr:uid="{0D7AB065-FB7E-4637-9564-5EB7137E0954}">
      <text>
        <t>[Threaded comment]
Your version of Excel allows you to read this threaded comment; however, any edits to it will get removed if the file is opened in a newer version of Excel. Learn more: https://go.microsoft.com/fwlink/?linkid=870924
Comment:
    ตาม login ผู้จัดการ QA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tc={B7B1AE46-4FB0-4B3B-B32A-B3E1F6F184EE}</author>
    <author>tc={4F7CC521-2D36-4256-BB31-16C0FF0D4141}</author>
    <author>tc={F3AC07E3-62D0-4924-AA19-F86368B0EB22}</author>
  </authors>
  <commentList>
    <comment ref="A2" authorId="0" shapeId="0" xr:uid="{B7B1AE46-4FB0-4B3B-B32A-B3E1F6F184EE}">
      <text>
        <t>[Threaded comment]
Your version of Excel allows you to read this threaded comment; however, any edits to it will get removed if the file is opened in a newer version of Excel. Learn more: https://go.microsoft.com/fwlink/?linkid=870924
Comment:
    คิดมาจากหน้าแรก</t>
      </text>
    </comment>
    <comment ref="P3" authorId="1" shapeId="0" xr:uid="{4F7CC521-2D36-4256-BB31-16C0FF0D4141}">
      <text>
        <t>[Threaded comment]
Your version of Excel allows you to read this threaded comment; however, any edits to it will get removed if the file is opened in a newer version of Excel. Learn more: https://go.microsoft.com/fwlink/?linkid=870924
Comment:
    มันจะมีงานเสียแบบไม่ต้องออก NCR</t>
      </text>
    </comment>
    <comment ref="S9" authorId="2" shapeId="0" xr:uid="{F3AC07E3-62D0-4924-AA19-F86368B0EB22}">
      <text>
        <t>[Threaded comment]
Your version of Excel allows you to read this threaded comment; however, any edits to it will get removed if the file is opened in a newer version of Excel. Learn more: https://go.microsoft.com/fwlink/?linkid=870924
Comment:
    ของเสียที่ทิ้งเลยไม่ได้เอามาเป็น ncr</t>
      </text>
    </comment>
  </commentList>
</comments>
</file>

<file path=xl/sharedStrings.xml><?xml version="1.0" encoding="utf-8"?>
<sst xmlns="http://schemas.openxmlformats.org/spreadsheetml/2006/main" count="384" uniqueCount="236">
  <si>
    <t xml:space="preserve">เลขที่ JOB </t>
  </si>
  <si>
    <t xml:space="preserve">เลขที่ NCR </t>
  </si>
  <si>
    <t>ชื่องาน/ชื่อวัตถุดิบ</t>
  </si>
  <si>
    <t>จำนวนที่ผลิตได้</t>
  </si>
  <si>
    <t>จำนวน Reject</t>
  </si>
  <si>
    <t>แผนกที่ก่อให้เกิดปัญหา</t>
  </si>
  <si>
    <t>หน่วยงานที่ก่อให้เกิดปัญหา</t>
  </si>
  <si>
    <t>ใบแจ้งผลการตรวจสอบผลิตภัณฑ์ที่ไม่เป็นไปตามข้อกำหนด (NCR)</t>
  </si>
  <si>
    <t>……. / ……. / …….</t>
  </si>
  <si>
    <t>AE</t>
  </si>
  <si>
    <t>ผลิตภัณฑ์ที่ไม่ตรงตามข้อกำหนด (NON CONFORMING PRODUCT)</t>
  </si>
  <si>
    <t>รายละเอียด/ลักษณะข้อบกพร่องที่พบ</t>
  </si>
  <si>
    <t>ระดับปัญหา</t>
  </si>
  <si>
    <t>ยอมรับได้ลักษณะงาน Minor</t>
  </si>
  <si>
    <t>ไม่ยอมรับลักษณะงาน Major</t>
  </si>
  <si>
    <t>พบ</t>
  </si>
  <si>
    <t>(ระหว่างผลิต)</t>
  </si>
  <si>
    <t>สุ่ม</t>
  </si>
  <si>
    <t>(งานสำเร็จ)</t>
  </si>
  <si>
    <t>%</t>
  </si>
  <si>
    <r>
      <t xml:space="preserve">การยอมรับของต้นสังกัด </t>
    </r>
    <r>
      <rPr>
        <sz val="14"/>
        <color theme="1"/>
        <rFont val="Angsana New"/>
        <family val="1"/>
      </rPr>
      <t>( ส่วนของผู้อนุมัติ )</t>
    </r>
  </si>
  <si>
    <t>ผู้จัดการต้นสังกัด NCR</t>
  </si>
  <si>
    <t>ลายเซ็น</t>
  </si>
  <si>
    <t>วิธีแก้ปัญหา</t>
  </si>
  <si>
    <t>ผลดำเนินการจริง</t>
  </si>
  <si>
    <t>ผู้รับผิดชอบ</t>
  </si>
  <si>
    <t>ส่วนของผู้ตรวจสอบ</t>
  </si>
  <si>
    <t>ผลการตรวจ</t>
  </si>
  <si>
    <t>( ยกเว้นกรณีการอนุมัติใช้ได้ )</t>
  </si>
  <si>
    <t>ผู้ตรวจสอบ</t>
  </si>
  <si>
    <t>( INSPECTOR )</t>
  </si>
  <si>
    <t>วันที่………../………../………….</t>
  </si>
  <si>
    <t>FM-830-01-01 REV.01</t>
  </si>
  <si>
    <t>หน่วยงานที่แจ้งปัญหา</t>
  </si>
  <si>
    <t>เลขที่ NCR</t>
  </si>
  <si>
    <t>..................</t>
  </si>
  <si>
    <t>..............</t>
  </si>
  <si>
    <t xml:space="preserve">  จำนวนที่ผลิตได้ .........................................</t>
  </si>
  <si>
    <t xml:space="preserve">  จำนวนของเสียที่ Reject …..........................</t>
  </si>
  <si>
    <t xml:space="preserve">  หน่วยงานที่ก่อให้เกิดปัญหา ........................</t>
  </si>
  <si>
    <t xml:space="preserve">  ชื่องาน/ชื่อวัตถุดิบ ............................................................</t>
  </si>
  <si>
    <t xml:space="preserve">  เลขที่งาน ..........................................................................</t>
  </si>
  <si>
    <t xml:space="preserve">  แผนกที่ก่อให้เกิดปัญหา ....................................................</t>
  </si>
  <si>
    <t>….......................</t>
  </si>
  <si>
    <t>ผู้ตรวจสอบพบผลิตภัณฑ์ที่ไม่เป็นไปตามข้อกำหนด _________________________</t>
  </si>
  <si>
    <t xml:space="preserve">   ผลการตัดสินใจ     </t>
  </si>
  <si>
    <t>JOB NO</t>
  </si>
  <si>
    <t>ชิ้นส่วน</t>
  </si>
  <si>
    <t>Machine</t>
  </si>
  <si>
    <t>Process</t>
  </si>
  <si>
    <t>Sheet</t>
  </si>
  <si>
    <t>Coating</t>
  </si>
  <si>
    <t>ยอดผลิต</t>
  </si>
  <si>
    <t>ของดี</t>
  </si>
  <si>
    <t>Minor</t>
  </si>
  <si>
    <t>Major</t>
  </si>
  <si>
    <t>Plan</t>
  </si>
  <si>
    <t>สำนักงาน</t>
  </si>
  <si>
    <t>Sh001</t>
  </si>
  <si>
    <t>Friday</t>
  </si>
  <si>
    <t>Mistine</t>
  </si>
  <si>
    <t>ชื่องาน</t>
  </si>
  <si>
    <t>สุ่ม 
(งานสำเร็จ)</t>
  </si>
  <si>
    <t xml:space="preserve">% NCR </t>
  </si>
  <si>
    <t>ผู้ตรวจสอบพบผลิตภัณฑ์ที่ไม่เป็นไปตามข้อกำหนด</t>
  </si>
  <si>
    <t>สมหมาย</t>
  </si>
  <si>
    <t>ชื่อชิ้นส่วน</t>
  </si>
  <si>
    <t xml:space="preserve"> </t>
  </si>
  <si>
    <t>Date</t>
  </si>
  <si>
    <t>text1</t>
  </si>
  <si>
    <t>cover</t>
  </si>
  <si>
    <t>จำนวนของเสียที่เป็น NCR</t>
  </si>
  <si>
    <t>แจ้งผลการตรวจสอบผลิตภัณฑ์ที่ไม่เป็นไปตามข้อกำหนด (NCR)</t>
  </si>
  <si>
    <t>พบ
 (ระหว่างผลิต)</t>
  </si>
  <si>
    <t xml:space="preserve"> ลายเซ็น</t>
  </si>
  <si>
    <t>แนวทางการแก้ไข</t>
  </si>
  <si>
    <t>ผลการดำเนินการจริง</t>
  </si>
  <si>
    <t>ผลการตรวจ ( ยกเว้นกรณีการอนุมัติใช้ได้ )</t>
  </si>
  <si>
    <t>ผู้ตรวจสอบ ( INSPECTOR )</t>
  </si>
  <si>
    <t>Mr.Donut</t>
  </si>
  <si>
    <t>ผลการตัดสินใจ</t>
  </si>
  <si>
    <t>Job no</t>
  </si>
  <si>
    <t>จำนวนงานจริง</t>
  </si>
  <si>
    <t>เผื่อเสียพิมพ์</t>
  </si>
  <si>
    <t>เผื่อเสียหลังการพิมพ์</t>
  </si>
  <si>
    <t>minor</t>
  </si>
  <si>
    <t>major</t>
  </si>
  <si>
    <t>ของเสีย</t>
  </si>
  <si>
    <t>Example</t>
  </si>
  <si>
    <t>J52000691</t>
  </si>
  <si>
    <t>ยอดงาน NCR</t>
  </si>
  <si>
    <t>Tom</t>
  </si>
  <si>
    <t>Tony</t>
  </si>
  <si>
    <t>Teddy</t>
  </si>
  <si>
    <t>ส่งยอด</t>
  </si>
  <si>
    <t>ตอนรวมเทียบ plan แล้วปัดเป็นของเสียเลย</t>
  </si>
  <si>
    <t>Sh002</t>
  </si>
  <si>
    <t>Sh003</t>
  </si>
  <si>
    <t>Sh004</t>
  </si>
  <si>
    <t>plan</t>
  </si>
  <si>
    <t xml:space="preserve">ของดี </t>
  </si>
  <si>
    <t>แต่ละพาลเลทจะไม่รู้ว่าตั้งเครื่องเท่าไร</t>
  </si>
  <si>
    <t>ขาดยอด</t>
  </si>
  <si>
    <t>Sh005</t>
  </si>
  <si>
    <t>Sh006</t>
  </si>
  <si>
    <t>text</t>
  </si>
  <si>
    <t>edit by</t>
  </si>
  <si>
    <t>NCR เข้ากระบวนการผลิต</t>
  </si>
  <si>
    <t>NCR ทำลายทิ้ง</t>
  </si>
  <si>
    <t>Requirement</t>
  </si>
  <si>
    <t>Remark</t>
  </si>
  <si>
    <t>Detail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</si>
  <si>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</si>
  <si>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</si>
  <si>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</si>
  <si>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</si>
  <si>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</si>
  <si>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</si>
  <si>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</si>
  <si>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</si>
  <si>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</si>
  <si>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</si>
  <si>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</si>
  <si>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</si>
  <si>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</si>
  <si>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NO.</t>
  </si>
  <si>
    <t>User Requirement Document</t>
  </si>
  <si>
    <t>หมายเหตุ</t>
  </si>
  <si>
    <t>ลำดับ</t>
  </si>
  <si>
    <t>Table Name</t>
  </si>
  <si>
    <t>Field Name</t>
  </si>
  <si>
    <t>Field Type</t>
  </si>
  <si>
    <t>Comment</t>
  </si>
  <si>
    <t>job_id</t>
  </si>
  <si>
    <t>Default Value</t>
  </si>
  <si>
    <t>วันที่แจ้ง</t>
  </si>
  <si>
    <t>วันที่ดำเนินการ</t>
  </si>
  <si>
    <t>ผล</t>
  </si>
  <si>
    <t>ปัญหา</t>
  </si>
  <si>
    <t>หากงานมีหลาย F จะมีได้แค่ 1 Component. เท่านั้น</t>
  </si>
  <si>
    <t>ปุ่มเพิ่ม/ลด</t>
  </si>
  <si>
    <t>สามารถระบุ Runon Qty. แยกกันแต่ละ F ได้</t>
  </si>
  <si>
    <t>แต่ละ F สามารถระบุสี และสีพิเศษ ที่ต่างกันได้</t>
  </si>
  <si>
    <t>select box ให้เลือก Code F</t>
  </si>
  <si>
    <t>หากเป็นงานหลาย F การแบ่งส่งให้ระบุ F แทนชื่อ Comp.</t>
  </si>
  <si>
    <t>ระบบสามารถคำนวณข้อมูล จัดเก็บ และแสดงผลได้ถูกต้อง</t>
  </si>
  <si>
    <t>งานแบ่งยอด F</t>
  </si>
  <si>
    <t>สามารถเลือกได้ว่า rfq เป็นงานมีหลาย F หรือไม่</t>
  </si>
  <si>
    <t>tb_rfq ฟิลด์ is_multiple_f  / 0 = ไม่ใช่ , 1 = ใช่ / default = 0</t>
  </si>
  <si>
    <t>Disabled ปุ่มเพิ่ม Comp.</t>
  </si>
  <si>
    <t>สามารถเพิ่ม / ลด จำนวน F ได้</t>
  </si>
  <si>
    <t>แต่ละ F สามารถกรอก Code F ที่ไม่ซ้ำกัน และจำนวนที่ต่างกันได้</t>
  </si>
  <si>
    <t>ระบบสามารถรวมยอดทุก F เป็น total qty. ได้</t>
  </si>
  <si>
    <t>Addon ต่างๆเช่น Foilstamp , Deboss , Emboss สามารถระบุเลือกทำเฉพาะบาง F ได้</t>
  </si>
  <si>
    <t>ตารางสรุปผลการใช้กระดาษให้สรุปตามยอดแต่ละ F</t>
  </si>
  <si>
    <t>การ Packing หากแต่ละ F มีการ Pack. ไม่เหมือนกัน 
สามารถระบุการ Packing  ของแต่ละ F เองได้</t>
  </si>
  <si>
    <t>ตารางสรุปราคา ส่วนที่แสดงชื่อ Comp. ให้แสดงเป็น Code F แทน</t>
  </si>
  <si>
    <t>ให้เพิ่ม/ลดจำนวนเอง แต่ไม่เกินจำนวน F , สามารถ Copy การระบุสีล่าสุดได้</t>
  </si>
  <si>
    <t>เดิมจะสรุปตามยอด Qty. ที่ต่างกัน</t>
  </si>
  <si>
    <t>default kraftwrap</t>
  </si>
  <si>
    <t>1.1.14</t>
  </si>
  <si>
    <t>การคิดราคาจะแยกคิดดังนี้
คิดราคาแยก ตามจำนวนงานของแต่ละ F
- กระดาษ, สีพิเศษ, Plate, ค่าปริ้นท์
คิดราคาแยกตามการเลือก F ( หากไม่ได้เลือกจะไม่คิด )
- Deboss , Emboss, Foilstamp
คิดราคารวมทุก F ( คิดตามจำนวนงานทุก F รวมกัน )
- Die-cut และ Block Die-cut
- ประกบลูกฟูก, แกะ, Inspection, Assembly
- Coating
- Packing, Delivery</t>
  </si>
  <si>
    <t>* ค่า Packing จะเอาจำนวนงานในการส่งของแต่ละรอบ และแต่ละ F มาหาจำนวนของ packing ที่ใช้ และจำนวน packing มา + กัน
ตัวอย่างเช่น หากในรอบส่งนั้น มี F1 ยอด 5,000 , F2 ยอด 8,500 และ kraftwrap 1 pack = 1,000 ชิ้น
F1 จะได้เป็น 5,000 / 1,000 = 5 pack
F2 จะได้เป็น 8,500 / 1,000 = 9 pack (ปัดเศษขึ้นเป็นจำนวนเต็มบวก)
จะได้เป็น 5 + 9 = 14 pack
นำจำนวน pack ไป * ราคา / pack จะได้เป็นค่า packing ต่อรอบส่งนั้นๆ</t>
  </si>
  <si>
    <t>tb_rfq</t>
  </si>
  <si>
    <t>is_multiple_f</t>
  </si>
  <si>
    <t>tinyint</t>
  </si>
  <si>
    <t>ระบุว่าเป็นงานแบ่ง F หรือไม่</t>
  </si>
  <si>
    <t>0 = ไม่เป็น, 1 = เป็น</t>
  </si>
  <si>
    <t>is_different_packing</t>
  </si>
  <si>
    <t>ระบุว่าแต่ละ F มีการ packing ต่างกันหรือไม่</t>
  </si>
  <si>
    <t>0 = ไม่ต่าง, 1 = ต่างกัน</t>
  </si>
  <si>
    <t>tb_rfq_kraftwrap</t>
  </si>
  <si>
    <t>is_editKraftwrapQty</t>
  </si>
  <si>
    <t>ระบุว่ามีการแก้ไขจำนวนชิ้น / pack หรือไม่</t>
  </si>
  <si>
    <t>0 = ไม่ใช่, 1 = ใช่</t>
  </si>
  <si>
    <t>tb_rfq_color</t>
  </si>
  <si>
    <t>id</t>
  </si>
  <si>
    <t>int identity / auto increment</t>
  </si>
  <si>
    <t>Auto</t>
  </si>
  <si>
    <t>inside</t>
  </si>
  <si>
    <t>outside</t>
  </si>
  <si>
    <t>all_color</t>
  </si>
  <si>
    <t>component_id</t>
  </si>
  <si>
    <t>f_code</t>
  </si>
  <si>
    <t>int(0)</t>
  </si>
  <si>
    <t>nvarchar(20)</t>
  </si>
  <si>
    <t>มาจาก tb_rfq.job_id</t>
  </si>
  <si>
    <t>ลำดับที่ของ component</t>
  </si>
  <si>
    <t>tb_rfq_f</t>
  </si>
  <si>
    <t>f_qty</t>
  </si>
  <si>
    <t>runon_percent</t>
  </si>
  <si>
    <t>runon_qty</t>
  </si>
  <si>
    <t>total_qty</t>
  </si>
  <si>
    <t>ae_qty</t>
  </si>
  <si>
    <t>customer_qty</t>
  </si>
  <si>
    <t>remark</t>
  </si>
  <si>
    <t>float(53)</t>
  </si>
  <si>
    <t>nvarchar(300)</t>
  </si>
  <si>
    <t>จำนวนชิ้นงาน</t>
  </si>
  <si>
    <t>% เผื่อชิ้นงาน</t>
  </si>
  <si>
    <t>จำนวนเผื่อชิ้นงาน</t>
  </si>
  <si>
    <t>รวมจำนวนชิ้นงาน</t>
  </si>
  <si>
    <t>จำนวนตัวอย่างชิ้นงานที่ลูกค้าขอ</t>
  </si>
  <si>
    <t>จำนวนตัวอย่างชิ้นงานที่ AE ขอ</t>
  </si>
  <si>
    <t>tb_rfq_f_other</t>
  </si>
  <si>
    <t>nvarchar(100)</t>
  </si>
  <si>
    <t>field_key</t>
  </si>
  <si>
    <t>field_index</t>
  </si>
  <si>
    <t>nvarchar(200)</t>
  </si>
  <si>
    <t>ลำดับที่ของการแสดงผล</t>
  </si>
  <si>
    <t>ระบุว่ามาจากส่วนไหนของ rfq เพื่อใช้ในการแสดงผล</t>
  </si>
  <si>
    <t>มาจาก tb_rfq_f.f_code</t>
  </si>
  <si>
    <t>แบ่งค่าแต่ละ f ด้วย ,</t>
  </si>
  <si>
    <r>
      <rPr>
        <b/>
        <i/>
        <sz val="16"/>
        <color theme="1"/>
        <rFont val="TH SarabunPSK"/>
        <family val="2"/>
        <charset val="222"/>
      </rPr>
      <t>Last Updated:</t>
    </r>
    <r>
      <rPr>
        <i/>
        <sz val="16"/>
        <color theme="1"/>
        <rFont val="TH SarabunPSK"/>
        <family val="2"/>
      </rPr>
      <t xml:space="preserve"> 2022-08-23</t>
    </r>
  </si>
  <si>
    <r>
      <rPr>
        <b/>
        <i/>
        <sz val="16"/>
        <color theme="1"/>
        <rFont val="TH SarabunPSK"/>
        <family val="2"/>
        <charset val="222"/>
      </rPr>
      <t>Developed/Maintained By:</t>
    </r>
    <r>
      <rPr>
        <i/>
        <sz val="16"/>
        <color theme="1"/>
        <rFont val="TH SarabunPSK"/>
        <family val="2"/>
      </rPr>
      <t xml:space="preserve"> Tulagarn Sangoondee</t>
    </r>
  </si>
  <si>
    <r>
      <rPr>
        <b/>
        <i/>
        <sz val="16"/>
        <color theme="1"/>
        <rFont val="TH SarabunPSK"/>
        <family val="2"/>
        <charset val="222"/>
      </rPr>
      <t xml:space="preserve">Release date: </t>
    </r>
    <r>
      <rPr>
        <i/>
        <sz val="16"/>
        <color theme="1"/>
        <rFont val="TH SarabunPSK"/>
        <family val="2"/>
      </rPr>
      <t>2022-01-01</t>
    </r>
  </si>
  <si>
    <r>
      <rPr>
        <b/>
        <i/>
        <sz val="16"/>
        <color theme="1"/>
        <rFont val="TH SarabunPSK"/>
        <family val="2"/>
        <charset val="222"/>
      </rPr>
      <t xml:space="preserve">Release version: </t>
    </r>
    <r>
      <rPr>
        <i/>
        <sz val="16"/>
        <color theme="1"/>
        <rFont val="TH SarabunPSK"/>
        <family val="2"/>
      </rPr>
      <t>1.0</t>
    </r>
  </si>
  <si>
    <r>
      <rPr>
        <b/>
        <i/>
        <sz val="16"/>
        <color theme="1"/>
        <rFont val="TH SarabunPSK"/>
        <family val="2"/>
        <charset val="222"/>
      </rPr>
      <t>Project Name:</t>
    </r>
    <r>
      <rPr>
        <i/>
        <sz val="16"/>
        <color theme="1"/>
        <rFont val="TH SarabunPSK"/>
        <family val="2"/>
      </rPr>
      <t xml:space="preserve"> ระบบ Estimate Packaging (MI 2)</t>
    </r>
  </si>
  <si>
    <t>อยากให้เปลี่ยนชื่อหมวดหมู่จาก วัสดุตีพิมพ์ เป็น ประเภทกระดาษ</t>
  </si>
  <si>
    <t>เสร็จสิ้น</t>
  </si>
  <si>
    <t>แก้ไขปัญหาการเปิดไฟล์ไม่ได้ / ไม่พบไฟล์</t>
  </si>
  <si>
    <t>ยิง api ไปเช็คว่าไฟล์มีอยู่ใน server ใหม่ และตอบกลับ user ก่อนโชว์ไฟล์</t>
  </si>
  <si>
    <t>การทำลิมิตสี ให้เปลี่ยนจากรวมทุก F เป็นแยกแต่ละ F และคิด paper waste ตาม F นั้นๆ</t>
  </si>
  <si>
    <t>other process / handwork process ให้สามารถระบุจำนวนไม่คงที่ได้</t>
  </si>
  <si>
    <t>เลือกหมึก UV ให้สามารถลงได้เฉพาะ cut 2 และกำหนดให้ใส่สีได้ไม่เกิน6สี/ด้านพิมพ์</t>
  </si>
  <si>
    <t>แก้ไขเมื่อเลือกงาน re-print และ Offset สามารถเลือกใช้ plate เดิมได้ โดยจะทำให้ค่า plate ลดลง 50%</t>
  </si>
  <si>
    <t>เพิ่มช่องกรอกข้อมูลขาดทุนด้านล่างตารางสรุปราคา ตามจำนวนยอดงาน</t>
  </si>
  <si>
    <t>เมื่อเลือกหมึก UV สีพิเศษจะสามารถเลือกได้แค่หมึก UV เท่านั้น</t>
  </si>
  <si>
    <t>Export RFQ เพิ่มคอลัมน์ is_loss , loss</t>
  </si>
  <si>
    <t>เพิ่ม field loss ใน tb_rfq_qty</t>
  </si>
  <si>
    <t>เพิ่ม field is_loss ใน tb_rfq</t>
  </si>
  <si>
    <t>แก้ไขปัญหางานหลาย F เพิ่ม process material , other cost แบบไม่คงที่ คำนวณราคาไม่ถูกต้อง</t>
  </si>
  <si>
    <t>เพิ่มเงื่อนไขการ summary ใน summarytotalprice</t>
  </si>
  <si>
    <t>เพิ่มคอลัมน์ customer ใน export excel</t>
  </si>
  <si>
    <t>อยากให้มีการทำ Profit Sharing ได้</t>
  </si>
  <si>
    <t>- มีให้เลือกติ๊กว่าจะทำ Profit Sharing ไหม
- การทำ profit sharing จะทำได้เฉพาะงานพิมพ์ Offset + ตัด 2
- การทำ profit sharing จะเป็นการเพิ่มราคาไปในแต่ละ process บาง process 15-20%
- การทำ profit sharing จะมี + เพิ่มไปอีก 0.05 % หรือ 5,000 บาทในตอนท้ายก่อนคิดราคาต่อชิ้น
- ในหน้าเลือก RFQ จะมีแสดงบอกว่างานไหนทำ profit 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</si>
</sst>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sz val="14"/>
      <color theme="1"/>
      <name val="Angsana New"/>
      <family val="1"/>
    </font>
    <font>
      <sz val="14"/>
      <color theme="1"/>
      <name val="Symbol"/>
      <family val="1"/>
      <charset val="2"/>
    </font>
    <font>
      <sz val="14"/>
      <color theme="1"/>
      <name val="Angsana New"/>
      <family val="1"/>
    </font>
    <font>
      <sz val="11"/>
      <color theme="1"/>
      <name val="Angsana New"/>
      <family val="1"/>
    </font>
    <font>
      <b/>
      <sz val="20"/>
      <color theme="1"/>
      <name val="Angsana New"/>
      <family val="1"/>
    </font>
    <font>
      <sz val="10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u/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charset val="222"/>
      <scheme val="minor"/>
    </font>
    <font>
      <sz val="8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charset val="222"/>
      <scheme val="minor"/>
    </font>
    <font>
      <sz val="8"/>
      <color theme="0"/>
      <name val="Calibri"/>
      <family val="2"/>
      <charset val="222"/>
      <scheme val="minor"/>
    </font>
    <font>
      <sz val="11"/>
      <color rgb="FF002060"/>
      <name val="Calibri"/>
      <family val="2"/>
      <charset val="222"/>
      <scheme val="minor"/>
    </font>
    <font>
      <sz val="11"/>
      <color rgb="FFC00000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i/>
      <sz val="16"/>
      <color theme="1"/>
      <name val="TH SarabunPSK"/>
      <family val="2"/>
    </font>
    <font>
      <sz val="1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8"/>
      <color rgb="FF000000"/>
      <name val="Segoe UI"/>
      <family val="2"/>
    </font>
    <font>
      <b/>
      <i/>
      <sz val="16"/>
      <color theme="1"/>
      <name val="TH SarabunPSK"/>
      <family val="2"/>
      <charset val="222"/>
    </font>
    <font>
      <i/>
      <sz val="16"/>
      <color theme="1"/>
      <name val="TH SarabunPSK"/>
      <family val="2"/>
      <charset val="222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0" fontId="15" fillId="0" borderId="0"/>
  </cellStyleXfs>
  <cellXfs count="179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8" fillId="3" borderId="0" xfId="0" applyFont="1" applyFill="1"/>
    <xf numFmtId="0" fontId="8" fillId="3" borderId="0" xfId="0" applyFont="1" applyFill="1" applyAlignment="1">
      <alignment horizontal="center"/>
    </xf>
    <xf numFmtId="0" fontId="8" fillId="3" borderId="13" xfId="0" applyFont="1" applyFill="1" applyBorder="1"/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/>
    <xf numFmtId="0" fontId="8" fillId="3" borderId="16" xfId="0" applyFont="1" applyFill="1" applyBorder="1"/>
    <xf numFmtId="0" fontId="8" fillId="3" borderId="17" xfId="0" applyFont="1" applyFill="1" applyBorder="1"/>
    <xf numFmtId="0" fontId="8" fillId="3" borderId="18" xfId="0" applyFont="1" applyFill="1" applyBorder="1"/>
    <xf numFmtId="0" fontId="8" fillId="3" borderId="19" xfId="0" applyFont="1" applyFill="1" applyBorder="1"/>
    <xf numFmtId="0" fontId="8" fillId="3" borderId="20" xfId="0" applyFont="1" applyFill="1" applyBorder="1"/>
    <xf numFmtId="0" fontId="0" fillId="3" borderId="14" xfId="0" applyFill="1" applyBorder="1"/>
    <xf numFmtId="0" fontId="0" fillId="3" borderId="16" xfId="0" applyFill="1" applyBorder="1"/>
    <xf numFmtId="0" fontId="0" fillId="3" borderId="18" xfId="0" applyFill="1" applyBorder="1"/>
    <xf numFmtId="0" fontId="0" fillId="3" borderId="24" xfId="0" applyFill="1" applyBorder="1"/>
    <xf numFmtId="0" fontId="5" fillId="3" borderId="21" xfId="0" applyFont="1" applyFill="1" applyBorder="1" applyAlignment="1">
      <alignment vertical="center" wrapText="1"/>
    </xf>
    <xf numFmtId="0" fontId="0" fillId="3" borderId="15" xfId="0" applyFill="1" applyBorder="1"/>
    <xf numFmtId="0" fontId="0" fillId="3" borderId="17" xfId="0" applyFill="1" applyBorder="1"/>
    <xf numFmtId="0" fontId="5" fillId="3" borderId="13" xfId="0" applyFont="1" applyFill="1" applyBorder="1" applyAlignment="1">
      <alignment vertical="center" wrapText="1"/>
    </xf>
    <xf numFmtId="0" fontId="5" fillId="3" borderId="17" xfId="0" applyFont="1" applyFill="1" applyBorder="1" applyAlignment="1">
      <alignment vertical="center" wrapText="1"/>
    </xf>
    <xf numFmtId="0" fontId="5" fillId="3" borderId="23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vertical="center" wrapText="1"/>
    </xf>
    <xf numFmtId="0" fontId="8" fillId="3" borderId="0" xfId="0" applyFont="1" applyFill="1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/>
    <xf numFmtId="0" fontId="0" fillId="4" borderId="7" xfId="0" applyFill="1" applyBorder="1"/>
    <xf numFmtId="0" fontId="0" fillId="0" borderId="27" xfId="0" applyBorder="1"/>
    <xf numFmtId="0" fontId="0" fillId="4" borderId="27" xfId="0" applyFill="1" applyBorder="1"/>
    <xf numFmtId="0" fontId="0" fillId="0" borderId="4" xfId="0" applyBorder="1"/>
    <xf numFmtId="0" fontId="0" fillId="4" borderId="8" xfId="0" applyFill="1" applyBorder="1"/>
    <xf numFmtId="0" fontId="0" fillId="0" borderId="5" xfId="0" applyBorder="1"/>
    <xf numFmtId="0" fontId="0" fillId="4" borderId="9" xfId="0" applyFill="1" applyBorder="1"/>
    <xf numFmtId="0" fontId="0" fillId="0" borderId="28" xfId="0" applyBorder="1"/>
    <xf numFmtId="0" fontId="0" fillId="4" borderId="28" xfId="0" applyFill="1" applyBorder="1" applyAlignment="1">
      <alignment horizontal="right"/>
    </xf>
    <xf numFmtId="0" fontId="0" fillId="0" borderId="6" xfId="0" applyBorder="1"/>
    <xf numFmtId="0" fontId="0" fillId="0" borderId="2" xfId="0" applyBorder="1"/>
    <xf numFmtId="0" fontId="0" fillId="4" borderId="1" xfId="0" applyFill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9" fontId="0" fillId="0" borderId="0" xfId="1" applyFont="1"/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5" fillId="0" borderId="0" xfId="0" applyFont="1" applyAlignment="1">
      <alignment vertical="top"/>
    </xf>
    <xf numFmtId="0" fontId="0" fillId="6" borderId="0" xfId="0" applyFill="1"/>
    <xf numFmtId="0" fontId="0" fillId="7" borderId="0" xfId="0" applyFill="1" applyAlignment="1">
      <alignment horizontal="left"/>
    </xf>
    <xf numFmtId="0" fontId="0" fillId="7" borderId="0" xfId="0" applyFill="1"/>
    <xf numFmtId="0" fontId="0" fillId="4" borderId="0" xfId="0" applyFill="1"/>
    <xf numFmtId="0" fontId="8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2" fillId="0" borderId="0" xfId="0" applyFont="1"/>
    <xf numFmtId="0" fontId="16" fillId="5" borderId="32" xfId="0" applyFont="1" applyFill="1" applyBorder="1"/>
    <xf numFmtId="0" fontId="16" fillId="5" borderId="33" xfId="0" applyFont="1" applyFill="1" applyBorder="1"/>
    <xf numFmtId="0" fontId="13" fillId="0" borderId="0" xfId="0" applyFont="1"/>
    <xf numFmtId="0" fontId="17" fillId="9" borderId="0" xfId="0" applyFont="1" applyFill="1"/>
    <xf numFmtId="0" fontId="13" fillId="10" borderId="0" xfId="0" applyFont="1" applyFill="1"/>
    <xf numFmtId="0" fontId="13" fillId="8" borderId="0" xfId="0" applyFont="1" applyFill="1"/>
    <xf numFmtId="0" fontId="13" fillId="11" borderId="0" xfId="0" applyFont="1" applyFill="1"/>
    <xf numFmtId="0" fontId="14" fillId="10" borderId="0" xfId="0" applyFont="1" applyFill="1"/>
    <xf numFmtId="0" fontId="0" fillId="0" borderId="0" xfId="0" applyAlignment="1">
      <alignment horizontal="right" vertical="center"/>
    </xf>
    <xf numFmtId="0" fontId="18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11" fillId="12" borderId="12" xfId="0" applyFont="1" applyFill="1" applyBorder="1" applyAlignment="1">
      <alignment vertical="center"/>
    </xf>
    <xf numFmtId="0" fontId="11" fillId="12" borderId="12" xfId="0" applyFont="1" applyFill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0" fillId="1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23" fillId="12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/>
    </xf>
    <xf numFmtId="0" fontId="0" fillId="13" borderId="0" xfId="0" applyFill="1" applyAlignment="1">
      <alignment horizontal="left" vertical="center"/>
    </xf>
    <xf numFmtId="0" fontId="0" fillId="13" borderId="0" xfId="0" applyFill="1" applyAlignment="1">
      <alignment vertical="center"/>
    </xf>
    <xf numFmtId="0" fontId="0" fillId="13" borderId="0" xfId="0" applyFill="1" applyAlignment="1">
      <alignment horizontal="left" vertical="top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0" fillId="0" borderId="12" xfId="0" applyBorder="1" applyAlignment="1">
      <alignment horizontal="left" vertical="top" wrapText="1"/>
    </xf>
    <xf numFmtId="0" fontId="0" fillId="0" borderId="12" xfId="0" applyBorder="1" applyAlignment="1">
      <alignment horizontal="right" vertical="top"/>
    </xf>
    <xf numFmtId="0" fontId="0" fillId="0" borderId="12" xfId="0" applyBorder="1" applyAlignment="1">
      <alignment horizontal="left" vertical="top"/>
    </xf>
    <xf numFmtId="0" fontId="19" fillId="0" borderId="12" xfId="0" applyFont="1" applyBorder="1" applyAlignment="1">
      <alignment horizontal="left" vertical="top"/>
    </xf>
    <xf numFmtId="0" fontId="19" fillId="0" borderId="12" xfId="0" applyFont="1" applyBorder="1" applyAlignment="1">
      <alignment horizontal="left" vertical="top" wrapText="1"/>
    </xf>
    <xf numFmtId="0" fontId="27" fillId="0" borderId="0" xfId="0" applyFont="1" applyAlignment="1">
      <alignment horizontal="left" vertical="center"/>
    </xf>
    <xf numFmtId="0" fontId="27" fillId="0" borderId="0" xfId="0" applyFont="1"/>
    <xf numFmtId="0" fontId="11" fillId="12" borderId="0" xfId="0" applyFont="1" applyFill="1" applyAlignment="1">
      <alignment vertical="center"/>
    </xf>
    <xf numFmtId="0" fontId="11" fillId="12" borderId="0" xfId="0" applyFont="1" applyFill="1" applyAlignment="1">
      <alignment horizontal="left" vertical="center"/>
    </xf>
    <xf numFmtId="0" fontId="28" fillId="6" borderId="0" xfId="0" applyFont="1" applyFill="1" applyAlignment="1">
      <alignment vertical="center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left" vertical="center" wrapText="1"/>
    </xf>
    <xf numFmtId="0" fontId="5" fillId="3" borderId="25" xfId="0" applyFont="1" applyFill="1" applyBorder="1" applyAlignment="1">
      <alignment horizontal="left" vertical="center" wrapText="1"/>
    </xf>
    <xf numFmtId="0" fontId="5" fillId="3" borderId="26" xfId="0" applyFont="1" applyFill="1" applyBorder="1" applyAlignment="1">
      <alignment horizontal="left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right" vertical="top" wrapText="1"/>
    </xf>
    <xf numFmtId="0" fontId="5" fillId="3" borderId="12" xfId="0" applyFont="1" applyFill="1" applyBorder="1" applyAlignment="1">
      <alignment horizontal="right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top" wrapText="1"/>
    </xf>
    <xf numFmtId="0" fontId="5" fillId="3" borderId="22" xfId="0" applyFont="1" applyFill="1" applyBorder="1" applyAlignment="1">
      <alignment horizontal="center" vertical="top" wrapText="1"/>
    </xf>
    <xf numFmtId="0" fontId="5" fillId="3" borderId="23" xfId="0" applyFont="1" applyFill="1" applyBorder="1" applyAlignment="1">
      <alignment horizontal="center" vertical="top" wrapText="1"/>
    </xf>
    <xf numFmtId="0" fontId="5" fillId="3" borderId="13" xfId="0" applyFont="1" applyFill="1" applyBorder="1" applyAlignment="1">
      <alignment horizontal="left" vertical="top" wrapText="1"/>
    </xf>
    <xf numFmtId="0" fontId="5" fillId="3" borderId="14" xfId="0" applyFont="1" applyFill="1" applyBorder="1" applyAlignment="1">
      <alignment horizontal="left" vertical="top" wrapText="1"/>
    </xf>
    <xf numFmtId="0" fontId="5" fillId="3" borderId="15" xfId="0" applyFont="1" applyFill="1" applyBorder="1" applyAlignment="1">
      <alignment horizontal="left" vertical="top" wrapText="1"/>
    </xf>
    <xf numFmtId="0" fontId="5" fillId="3" borderId="16" xfId="0" applyFont="1" applyFill="1" applyBorder="1" applyAlignment="1">
      <alignment horizontal="left" vertical="top" wrapText="1"/>
    </xf>
    <xf numFmtId="0" fontId="5" fillId="3" borderId="17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8" fillId="3" borderId="13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8" fillId="7" borderId="0" xfId="0" applyFont="1" applyFill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quotePrefix="1" applyAlignment="1">
      <alignment horizontal="left" vertical="top" wrapText="1"/>
    </xf>
    <xf numFmtId="14" fontId="0" fillId="0" borderId="0" xfId="0" applyNumberFormat="1" applyAlignment="1">
      <alignment horizontal="right" vertical="top"/>
    </xf>
  </cellXfs>
  <cellStyles count="3">
    <cellStyle name="Normal" xfId="0" builtinId="0"/>
    <cellStyle name="Normal 2" xfId="2" xr:uid="{E3DA3E43-08B7-489C-A81B-A493295FFA2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708660</xdr:colOff>
          <xdr:row>3</xdr:row>
          <xdr:rowOff>403860</xdr:rowOff>
        </xdr:from>
        <xdr:to>
          <xdr:col>2</xdr:col>
          <xdr:colOff>1813560</xdr:colOff>
          <xdr:row>5</xdr:row>
          <xdr:rowOff>60960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เจริญกรุง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1562100</xdr:colOff>
          <xdr:row>3</xdr:row>
          <xdr:rowOff>403860</xdr:rowOff>
        </xdr:from>
        <xdr:to>
          <xdr:col>2</xdr:col>
          <xdr:colOff>2651760</xdr:colOff>
          <xdr:row>5</xdr:row>
          <xdr:rowOff>60960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บางปะกง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548640</xdr:colOff>
          <xdr:row>35</xdr:row>
          <xdr:rowOff>91440</xdr:rowOff>
        </xdr:from>
        <xdr:to>
          <xdr:col>2</xdr:col>
          <xdr:colOff>1280160</xdr:colOff>
          <xdr:row>35</xdr:row>
          <xdr:rowOff>381000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แก้ไขใหม่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1234440</xdr:colOff>
          <xdr:row>35</xdr:row>
          <xdr:rowOff>91440</xdr:rowOff>
        </xdr:from>
        <xdr:to>
          <xdr:col>2</xdr:col>
          <xdr:colOff>1958340</xdr:colOff>
          <xdr:row>35</xdr:row>
          <xdr:rowOff>381000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ส่งคืนผู้ขาย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1920240</xdr:colOff>
          <xdr:row>35</xdr:row>
          <xdr:rowOff>91440</xdr:rowOff>
        </xdr:from>
        <xdr:to>
          <xdr:col>2</xdr:col>
          <xdr:colOff>2651760</xdr:colOff>
          <xdr:row>35</xdr:row>
          <xdr:rowOff>381000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คัดแยก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2461260</xdr:colOff>
          <xdr:row>35</xdr:row>
          <xdr:rowOff>91440</xdr:rowOff>
        </xdr:from>
        <xdr:to>
          <xdr:col>3</xdr:col>
          <xdr:colOff>441960</xdr:colOff>
          <xdr:row>35</xdr:row>
          <xdr:rowOff>381000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อนุมัติใช้ได้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396240</xdr:colOff>
          <xdr:row>35</xdr:row>
          <xdr:rowOff>91440</xdr:rowOff>
        </xdr:from>
        <xdr:to>
          <xdr:col>4</xdr:col>
          <xdr:colOff>243840</xdr:colOff>
          <xdr:row>35</xdr:row>
          <xdr:rowOff>381000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ทำลายทิ้ง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35</xdr:row>
          <xdr:rowOff>91440</xdr:rowOff>
        </xdr:from>
        <xdr:to>
          <xdr:col>5</xdr:col>
          <xdr:colOff>91440</xdr:colOff>
          <xdr:row>35</xdr:row>
          <xdr:rowOff>381000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คิดค่าเสียยหาย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175260</xdr:colOff>
          <xdr:row>35</xdr:row>
          <xdr:rowOff>99060</xdr:rowOff>
        </xdr:from>
        <xdr:to>
          <xdr:col>6</xdr:col>
          <xdr:colOff>251460</xdr:colOff>
          <xdr:row>35</xdr:row>
          <xdr:rowOff>396240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อื่นๆ ...............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43</xdr:row>
          <xdr:rowOff>167640</xdr:rowOff>
        </xdr:from>
        <xdr:to>
          <xdr:col>6</xdr:col>
          <xdr:colOff>175260</xdr:colOff>
          <xdr:row>44</xdr:row>
          <xdr:rowOff>251460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ยอมรับ (Acceptable)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44</xdr:row>
          <xdr:rowOff>251460</xdr:rowOff>
        </xdr:from>
        <xdr:to>
          <xdr:col>6</xdr:col>
          <xdr:colOff>167640</xdr:colOff>
          <xdr:row>45</xdr:row>
          <xdr:rowOff>175260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ไม่ยอมรับ (Rejectable)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624840</xdr:colOff>
          <xdr:row>18</xdr:row>
          <xdr:rowOff>137160</xdr:rowOff>
        </xdr:from>
        <xdr:to>
          <xdr:col>6</xdr:col>
          <xdr:colOff>853440</xdr:colOff>
          <xdr:row>20</xdr:row>
          <xdr:rowOff>22860</xdr:rowOff>
        </xdr:to>
        <xdr:sp macro="" textlink="">
          <xdr:nvSpPr>
            <xdr:cNvPr id="22529" name="Check Box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2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624840</xdr:colOff>
          <xdr:row>17</xdr:row>
          <xdr:rowOff>815340</xdr:rowOff>
        </xdr:from>
        <xdr:to>
          <xdr:col>6</xdr:col>
          <xdr:colOff>853440</xdr:colOff>
          <xdr:row>19</xdr:row>
          <xdr:rowOff>60960</xdr:rowOff>
        </xdr:to>
        <xdr:sp macro="" textlink="">
          <xdr:nvSpPr>
            <xdr:cNvPr id="22530" name="Check Box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2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624840</xdr:colOff>
          <xdr:row>19</xdr:row>
          <xdr:rowOff>167640</xdr:rowOff>
        </xdr:from>
        <xdr:to>
          <xdr:col>6</xdr:col>
          <xdr:colOff>853440</xdr:colOff>
          <xdr:row>21</xdr:row>
          <xdr:rowOff>53340</xdr:rowOff>
        </xdr:to>
        <xdr:sp macro="" textlink="">
          <xdr:nvSpPr>
            <xdr:cNvPr id="22531" name="Check Box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02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480060</xdr:colOff>
          <xdr:row>18</xdr:row>
          <xdr:rowOff>129540</xdr:rowOff>
        </xdr:from>
        <xdr:to>
          <xdr:col>7</xdr:col>
          <xdr:colOff>708660</xdr:colOff>
          <xdr:row>20</xdr:row>
          <xdr:rowOff>15240</xdr:rowOff>
        </xdr:to>
        <xdr:sp macro="" textlink="">
          <xdr:nvSpPr>
            <xdr:cNvPr id="22532" name="Check Box 4" hidden="1">
              <a:extLst>
                <a:ext uri="{63B3BB69-23CF-44E3-9099-C40C66FF867C}">
                  <a14:compatExt spid="_x0000_s22532"/>
                </a:ext>
                <a:ext uri="{FF2B5EF4-FFF2-40B4-BE49-F238E27FC236}">
                  <a16:creationId xmlns:a16="http://schemas.microsoft.com/office/drawing/2014/main" id="{00000000-0008-0000-0200-00000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480060</xdr:colOff>
          <xdr:row>17</xdr:row>
          <xdr:rowOff>365760</xdr:rowOff>
        </xdr:from>
        <xdr:to>
          <xdr:col>7</xdr:col>
          <xdr:colOff>708660</xdr:colOff>
          <xdr:row>19</xdr:row>
          <xdr:rowOff>60960</xdr:rowOff>
        </xdr:to>
        <xdr:sp macro="" textlink="">
          <xdr:nvSpPr>
            <xdr:cNvPr id="22533" name="Check Box 5" hidden="1">
              <a:extLst>
                <a:ext uri="{63B3BB69-23CF-44E3-9099-C40C66FF867C}">
                  <a14:compatExt spid="_x0000_s22533"/>
                </a:ext>
                <a:ext uri="{FF2B5EF4-FFF2-40B4-BE49-F238E27FC236}">
                  <a16:creationId xmlns:a16="http://schemas.microsoft.com/office/drawing/2014/main" id="{00000000-0008-0000-0200-000005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480060</xdr:colOff>
          <xdr:row>19</xdr:row>
          <xdr:rowOff>137160</xdr:rowOff>
        </xdr:from>
        <xdr:to>
          <xdr:col>7</xdr:col>
          <xdr:colOff>708660</xdr:colOff>
          <xdr:row>21</xdr:row>
          <xdr:rowOff>22860</xdr:rowOff>
        </xdr:to>
        <xdr:sp macro="" textlink="">
          <xdr:nvSpPr>
            <xdr:cNvPr id="22534" name="Check Box 6" hidden="1">
              <a:extLst>
                <a:ext uri="{63B3BB69-23CF-44E3-9099-C40C66FF867C}">
                  <a14:compatExt spid="_x0000_s22534"/>
                </a:ext>
                <a:ext uri="{FF2B5EF4-FFF2-40B4-BE49-F238E27FC236}">
                  <a16:creationId xmlns:a16="http://schemas.microsoft.com/office/drawing/2014/main" id="{00000000-0008-0000-0200-000006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624840</xdr:colOff>
          <xdr:row>18</xdr:row>
          <xdr:rowOff>137160</xdr:rowOff>
        </xdr:from>
        <xdr:to>
          <xdr:col>6</xdr:col>
          <xdr:colOff>853440</xdr:colOff>
          <xdr:row>20</xdr:row>
          <xdr:rowOff>22860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3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624840</xdr:colOff>
          <xdr:row>17</xdr:row>
          <xdr:rowOff>815340</xdr:rowOff>
        </xdr:from>
        <xdr:to>
          <xdr:col>6</xdr:col>
          <xdr:colOff>853440</xdr:colOff>
          <xdr:row>19</xdr:row>
          <xdr:rowOff>60960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3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624840</xdr:colOff>
          <xdr:row>19</xdr:row>
          <xdr:rowOff>167640</xdr:rowOff>
        </xdr:from>
        <xdr:to>
          <xdr:col>6</xdr:col>
          <xdr:colOff>853440</xdr:colOff>
          <xdr:row>21</xdr:row>
          <xdr:rowOff>38100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00000000-0008-0000-0300-00001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480060</xdr:colOff>
          <xdr:row>18</xdr:row>
          <xdr:rowOff>129540</xdr:rowOff>
        </xdr:from>
        <xdr:to>
          <xdr:col>7</xdr:col>
          <xdr:colOff>708660</xdr:colOff>
          <xdr:row>20</xdr:row>
          <xdr:rowOff>15240</xdr:rowOff>
        </xdr:to>
        <xdr:sp macro="" textlink="">
          <xdr:nvSpPr>
            <xdr:cNvPr id="8226" name="Check Box 34" hidden="1">
              <a:extLst>
                <a:ext uri="{63B3BB69-23CF-44E3-9099-C40C66FF867C}">
                  <a14:compatExt spid="_x0000_s8226"/>
                </a:ext>
                <a:ext uri="{FF2B5EF4-FFF2-40B4-BE49-F238E27FC236}">
                  <a16:creationId xmlns:a16="http://schemas.microsoft.com/office/drawing/2014/main" id="{00000000-0008-0000-0300-00002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480060</xdr:colOff>
          <xdr:row>17</xdr:row>
          <xdr:rowOff>365760</xdr:rowOff>
        </xdr:from>
        <xdr:to>
          <xdr:col>7</xdr:col>
          <xdr:colOff>708660</xdr:colOff>
          <xdr:row>19</xdr:row>
          <xdr:rowOff>22860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00000000-0008-0000-0300-00002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480060</xdr:colOff>
          <xdr:row>19</xdr:row>
          <xdr:rowOff>137160</xdr:rowOff>
        </xdr:from>
        <xdr:to>
          <xdr:col>7</xdr:col>
          <xdr:colOff>708660</xdr:colOff>
          <xdr:row>21</xdr:row>
          <xdr:rowOff>15240</xdr:rowOff>
        </xdr:to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00000000-0008-0000-0300-00002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30</xdr:row>
          <xdr:rowOff>129540</xdr:rowOff>
        </xdr:from>
        <xdr:to>
          <xdr:col>4</xdr:col>
          <xdr:colOff>662940</xdr:colOff>
          <xdr:row>32</xdr:row>
          <xdr:rowOff>53340</xdr:rowOff>
        </xdr:to>
        <xdr:sp macro="" textlink="">
          <xdr:nvSpPr>
            <xdr:cNvPr id="8246" name="Check Box 54" hidden="1">
              <a:extLst>
                <a:ext uri="{63B3BB69-23CF-44E3-9099-C40C66FF867C}">
                  <a14:compatExt spid="_x0000_s8246"/>
                </a:ext>
                <a:ext uri="{FF2B5EF4-FFF2-40B4-BE49-F238E27FC236}">
                  <a16:creationId xmlns:a16="http://schemas.microsoft.com/office/drawing/2014/main" id="{00000000-0008-0000-0300-00003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ยอมรับ (Acceptable)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31</xdr:row>
          <xdr:rowOff>129540</xdr:rowOff>
        </xdr:from>
        <xdr:to>
          <xdr:col>5</xdr:col>
          <xdr:colOff>0</xdr:colOff>
          <xdr:row>33</xdr:row>
          <xdr:rowOff>53340</xdr:rowOff>
        </xdr:to>
        <xdr:sp macro="" textlink="">
          <xdr:nvSpPr>
            <xdr:cNvPr id="8247" name="Check Box 55" hidden="1">
              <a:extLst>
                <a:ext uri="{63B3BB69-23CF-44E3-9099-C40C66FF867C}">
                  <a14:compatExt spid="_x0000_s8247"/>
                </a:ext>
                <a:ext uri="{FF2B5EF4-FFF2-40B4-BE49-F238E27FC236}">
                  <a16:creationId xmlns:a16="http://schemas.microsoft.com/office/drawing/2014/main" id="{00000000-0008-0000-0300-00003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ไม่ยอมรับ (Rejectable)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ngineer01" id="{2AC785DB-2D61-494C-8A72-D967854BE795}" userId="Engineer01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8" dT="2021-01-11T06:29:44.90" personId="{2AC785DB-2D61-494C-8A72-D967854BE795}" id="{C2860FFD-A6D8-44A2-8AD3-202BEA959D77}">
    <text>กรณีทั่วไปใช้</text>
  </threadedComment>
  <threadedComment ref="E18" dT="2021-01-11T06:30:00.99" personId="{2AC785DB-2D61-494C-8A72-D967854BE795}" id="{7F41CD3A-C5D8-4B3A-B423-C17F7475A12D}">
    <text>กรณีเป็นสินค้าสำเร็จรูป</text>
  </threadedComment>
  <threadedComment ref="D25" dT="2021-01-11T08:26:40.54" personId="{2AC785DB-2D61-494C-8A72-D967854BE795}" id="{C9BB9D4D-B693-4601-82D6-3A4E6C018160}">
    <text>ชื่อผู้จัดการที่ login เข้า MI</text>
  </threadedComment>
  <threadedComment ref="D28" dT="2021-01-14T01:55:08.48" personId="{2AC785DB-2D61-494C-8A72-D967854BE795}" id="{E16F851B-F354-4402-8CFD-5D0A4908B9D1}">
    <text>คนละคนกับผจก.คนละสิทธ์การเข้าถึง ถึงจะเป็นคนเดียวกันก็ต้องคนละสิทธิ์การเข้าถึง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8" dT="2021-01-11T06:29:44.90" personId="{2AC785DB-2D61-494C-8A72-D967854BE795}" id="{A1DB3F47-3EB2-4165-9C5D-95BF995ADF90}">
    <text>กรณีทั่วไปใช้</text>
  </threadedComment>
  <threadedComment ref="E18" dT="2021-01-11T06:30:00.99" personId="{2AC785DB-2D61-494C-8A72-D967854BE795}" id="{77C3F9E2-3423-459A-A525-34AC6874F6EB}">
    <text>กรณีเป็นสินค้าสำเร็จรูป</text>
  </threadedComment>
  <threadedComment ref="D25" dT="2021-01-11T08:26:40.54" personId="{2AC785DB-2D61-494C-8A72-D967854BE795}" id="{04E53BCA-932C-4496-AE4D-265DE9ECFB74}">
    <text>ชื่อผู้จัดการที่ login เข้า MI</text>
  </threadedComment>
  <threadedComment ref="D28" dT="2021-01-14T01:55:08.48" personId="{2AC785DB-2D61-494C-8A72-D967854BE795}" id="{4A934E7B-EECA-4439-B554-882B6A8BD7B8}">
    <text>คนละคนกับผจก.คนละสิทธ์การเข้าถึง ถึงจะเป็นคนเดียวกันก็ต้องคนละสิทธิ์การเข้าถึง</text>
  </threadedComment>
  <threadedComment ref="D34" dT="2021-01-15T02:32:50.99" personId="{2AC785DB-2D61-494C-8A72-D967854BE795}" id="{0D7AB065-FB7E-4637-9564-5EB7137E0954}">
    <text>ตาม login ผู้จัดการ QA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1-01-15T06:59:05.61" personId="{2AC785DB-2D61-494C-8A72-D967854BE795}" id="{B7B1AE46-4FB0-4B3B-B32A-B3E1F6F184EE}">
    <text>คิดมาจากหน้าแรก</text>
  </threadedComment>
  <threadedComment ref="P3" dT="2021-01-13T09:35:23.55" personId="{2AC785DB-2D61-494C-8A72-D967854BE795}" id="{4F7CC521-2D36-4256-BB31-16C0FF0D4141}">
    <text>มันจะมีงานเสียแบบไม่ต้องออก NCR</text>
  </threadedComment>
  <threadedComment ref="S9" dT="2021-01-13T09:28:56.70" personId="{2AC785DB-2D61-494C-8A72-D967854BE795}" id="{F3AC07E3-62D0-4924-AA19-F86368B0EB22}">
    <text>ของเสียที่ทิ้งเลยไม่ได้เอามาเป็น ncr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7.xml"/><Relationship Id="rId3" Type="http://schemas.openxmlformats.org/officeDocument/2006/relationships/ctrlProp" Target="../ctrlProps/ctrlProp12.xml"/><Relationship Id="rId7" Type="http://schemas.openxmlformats.org/officeDocument/2006/relationships/ctrlProp" Target="../ctrlProps/ctrlProp16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10" Type="http://schemas.microsoft.com/office/2017/10/relationships/threadedComment" Target="../threadedComments/threadedComment1.xml"/><Relationship Id="rId4" Type="http://schemas.openxmlformats.org/officeDocument/2006/relationships/ctrlProp" Target="../ctrlProps/ctrlProp13.xml"/><Relationship Id="rId9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2.xml"/><Relationship Id="rId13" Type="http://schemas.microsoft.com/office/2017/10/relationships/threadedComment" Target="../threadedComments/threadedComment2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1.xml"/><Relationship Id="rId12" Type="http://schemas.openxmlformats.org/officeDocument/2006/relationships/comments" Target="../comments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0.xml"/><Relationship Id="rId11" Type="http://schemas.openxmlformats.org/officeDocument/2006/relationships/ctrlProp" Target="../ctrlProps/ctrlProp25.xml"/><Relationship Id="rId5" Type="http://schemas.openxmlformats.org/officeDocument/2006/relationships/ctrlProp" Target="../ctrlProps/ctrlProp19.xml"/><Relationship Id="rId10" Type="http://schemas.openxmlformats.org/officeDocument/2006/relationships/ctrlProp" Target="../ctrlProps/ctrlProp24.xml"/><Relationship Id="rId4" Type="http://schemas.openxmlformats.org/officeDocument/2006/relationships/ctrlProp" Target="../ctrlProps/ctrlProp18.xml"/><Relationship Id="rId9" Type="http://schemas.openxmlformats.org/officeDocument/2006/relationships/ctrlProp" Target="../ctrlProps/ctrlProp2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58DD-E8E6-4910-9F2C-18C8757398A4}">
  <dimension ref="A1:G1"/>
  <sheetViews>
    <sheetView workbookViewId="0">
      <pane ySplit="1" topLeftCell="A2" activePane="bottomLeft" state="frozen"/>
      <selection pane="bottomLeft" activeCell="A2" sqref="A2:G11"/>
    </sheetView>
  </sheetViews>
  <sheetFormatPr defaultColWidth="8.77734375" defaultRowHeight="14.4"/>
  <cols>
    <col min="1" max="1" width="9.6640625" bestFit="1" customWidth="1"/>
    <col min="2" max="2" width="15.77734375" bestFit="1" customWidth="1"/>
    <col min="3" max="3" width="10.109375" bestFit="1" customWidth="1"/>
    <col min="4" max="4" width="14" bestFit="1" customWidth="1"/>
    <col min="5" max="5" width="12.109375" bestFit="1" customWidth="1"/>
    <col min="6" max="6" width="20.44140625" bestFit="1" customWidth="1"/>
    <col min="7" max="7" width="23.6640625" bestFit="1" customWidth="1"/>
  </cols>
  <sheetData>
    <row r="1" spans="1:7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CFB1-2700-4096-9467-65917BF5590C}">
  <dimension ref="A2:I46"/>
  <sheetViews>
    <sheetView topLeftCell="A10" zoomScale="96" zoomScaleNormal="96" workbookViewId="0">
      <selection activeCell="J10" sqref="J10"/>
    </sheetView>
  </sheetViews>
  <sheetFormatPr defaultColWidth="8.77734375" defaultRowHeight="14.4"/>
  <cols>
    <col min="1" max="1" width="8.77734375" style="2"/>
    <col min="2" max="2" width="5.44140625" style="2" customWidth="1"/>
    <col min="3" max="3" width="40" style="2" customWidth="1"/>
    <col min="4" max="4" width="13" style="2" customWidth="1"/>
    <col min="5" max="5" width="11.44140625" style="2" customWidth="1"/>
    <col min="6" max="6" width="9.6640625" style="2" bestFit="1" customWidth="1"/>
    <col min="7" max="7" width="8.77734375" style="2"/>
    <col min="8" max="8" width="8.109375" style="2" customWidth="1"/>
    <col min="9" max="9" width="8.77734375" style="2"/>
    <col min="11" max="12" width="8.77734375" customWidth="1"/>
  </cols>
  <sheetData>
    <row r="2" spans="2:9" ht="17.399999999999999">
      <c r="H2" s="3" t="s">
        <v>32</v>
      </c>
    </row>
    <row r="3" spans="2:9" ht="17.55" customHeight="1">
      <c r="B3" s="141" t="s">
        <v>7</v>
      </c>
      <c r="C3" s="141"/>
      <c r="D3" s="141"/>
      <c r="E3" s="141"/>
      <c r="F3" s="141"/>
      <c r="G3" s="141"/>
    </row>
    <row r="4" spans="2:9" ht="34.799999999999997" customHeight="1">
      <c r="H4" s="4" t="s">
        <v>8</v>
      </c>
    </row>
    <row r="5" spans="2:9">
      <c r="D5" s="35" t="s">
        <v>33</v>
      </c>
      <c r="E5" s="2" t="s">
        <v>35</v>
      </c>
      <c r="F5" s="11" t="s">
        <v>34</v>
      </c>
      <c r="G5" s="2" t="s">
        <v>36</v>
      </c>
    </row>
    <row r="6" spans="2:9" ht="18.45" customHeight="1"/>
    <row r="7" spans="2:9" ht="18.45" customHeight="1">
      <c r="B7" s="13" t="s">
        <v>40</v>
      </c>
      <c r="C7" s="14"/>
      <c r="D7" s="13" t="s">
        <v>37</v>
      </c>
      <c r="E7" s="19"/>
      <c r="F7" s="19"/>
      <c r="G7" s="142" t="s">
        <v>9</v>
      </c>
      <c r="H7" s="143"/>
      <c r="I7" s="12"/>
    </row>
    <row r="8" spans="2:9" ht="18.45" customHeight="1">
      <c r="B8" s="15" t="s">
        <v>41</v>
      </c>
      <c r="C8" s="16"/>
      <c r="D8" s="15" t="s">
        <v>38</v>
      </c>
      <c r="E8" s="11"/>
      <c r="F8" s="11"/>
      <c r="G8" s="144" t="s">
        <v>43</v>
      </c>
      <c r="H8" s="145"/>
      <c r="I8" s="12"/>
    </row>
    <row r="9" spans="2:9" ht="22.2" customHeight="1">
      <c r="B9" s="17" t="s">
        <v>42</v>
      </c>
      <c r="C9" s="18"/>
      <c r="D9" s="17" t="s">
        <v>39</v>
      </c>
      <c r="E9" s="20"/>
      <c r="F9" s="20"/>
      <c r="G9" s="146"/>
      <c r="H9" s="147"/>
      <c r="I9" s="12"/>
    </row>
    <row r="11" spans="2:9" ht="19.8">
      <c r="D11" s="6" t="s">
        <v>10</v>
      </c>
    </row>
    <row r="12" spans="2:9" ht="15" customHeight="1" thickBot="1">
      <c r="D12" s="6"/>
    </row>
    <row r="13" spans="2:9" ht="20.399999999999999" thickBot="1">
      <c r="B13" s="148" t="s">
        <v>11</v>
      </c>
      <c r="C13" s="149"/>
      <c r="D13" s="154" t="s">
        <v>12</v>
      </c>
      <c r="E13" s="155"/>
      <c r="F13" s="155"/>
      <c r="G13" s="155"/>
      <c r="H13" s="156"/>
    </row>
    <row r="14" spans="2:9" ht="17.399999999999999">
      <c r="B14" s="150"/>
      <c r="C14" s="151"/>
      <c r="D14" s="157" t="s">
        <v>13</v>
      </c>
      <c r="E14" s="157" t="s">
        <v>14</v>
      </c>
      <c r="F14" s="7" t="s">
        <v>15</v>
      </c>
      <c r="G14" s="7" t="s">
        <v>17</v>
      </c>
      <c r="H14" s="159" t="s">
        <v>19</v>
      </c>
    </row>
    <row r="15" spans="2:9" ht="18" thickBot="1">
      <c r="B15" s="152"/>
      <c r="C15" s="153"/>
      <c r="D15" s="158"/>
      <c r="E15" s="158"/>
      <c r="F15" s="8" t="s">
        <v>16</v>
      </c>
      <c r="G15" s="8" t="s">
        <v>18</v>
      </c>
      <c r="H15" s="160"/>
    </row>
    <row r="16" spans="2:9" ht="20.399999999999999" thickBot="1">
      <c r="B16" s="5">
        <v>1</v>
      </c>
      <c r="C16" s="9"/>
      <c r="D16" s="9"/>
      <c r="E16" s="9"/>
      <c r="F16" s="9"/>
      <c r="G16" s="9"/>
      <c r="H16" s="9"/>
    </row>
    <row r="17" spans="2:8" ht="20.399999999999999" thickBot="1">
      <c r="B17" s="5">
        <v>2</v>
      </c>
      <c r="C17" s="9"/>
      <c r="D17" s="9"/>
      <c r="E17" s="9"/>
      <c r="F17" s="9"/>
      <c r="G17" s="9"/>
      <c r="H17" s="9"/>
    </row>
    <row r="18" spans="2:8" ht="20.399999999999999" thickBot="1">
      <c r="B18" s="5">
        <v>3</v>
      </c>
      <c r="C18" s="9"/>
      <c r="D18" s="9"/>
      <c r="E18" s="9"/>
      <c r="F18" s="9"/>
      <c r="G18" s="9"/>
      <c r="H18" s="9"/>
    </row>
    <row r="19" spans="2:8" ht="20.399999999999999" thickBot="1">
      <c r="B19" s="5">
        <v>4</v>
      </c>
      <c r="C19" s="9"/>
      <c r="D19" s="9"/>
      <c r="E19" s="9"/>
      <c r="F19" s="9"/>
      <c r="G19" s="9"/>
      <c r="H19" s="9"/>
    </row>
    <row r="20" spans="2:8" ht="20.399999999999999" thickBot="1">
      <c r="B20" s="5">
        <v>5</v>
      </c>
      <c r="C20" s="9"/>
      <c r="D20" s="9"/>
      <c r="E20" s="9"/>
      <c r="F20" s="9"/>
      <c r="G20" s="9"/>
      <c r="H20" s="9"/>
    </row>
    <row r="21" spans="2:8" ht="20.399999999999999" thickBot="1">
      <c r="B21" s="5">
        <v>6</v>
      </c>
      <c r="C21" s="9"/>
      <c r="D21" s="9"/>
      <c r="E21" s="9"/>
      <c r="F21" s="9"/>
      <c r="G21" s="9"/>
      <c r="H21" s="9"/>
    </row>
    <row r="22" spans="2:8" ht="20.399999999999999" thickBot="1">
      <c r="B22" s="5">
        <v>7</v>
      </c>
      <c r="C22" s="9"/>
      <c r="D22" s="9"/>
      <c r="E22" s="9"/>
      <c r="F22" s="9"/>
      <c r="G22" s="9"/>
      <c r="H22" s="9"/>
    </row>
    <row r="23" spans="2:8" ht="20.399999999999999" thickBot="1">
      <c r="B23" s="5">
        <v>8</v>
      </c>
      <c r="C23" s="9"/>
      <c r="D23" s="9"/>
      <c r="E23" s="9"/>
      <c r="F23" s="9"/>
      <c r="G23" s="9"/>
      <c r="H23" s="9"/>
    </row>
    <row r="24" spans="2:8" ht="20.399999999999999" thickBot="1">
      <c r="B24" s="5">
        <v>9</v>
      </c>
      <c r="C24" s="9"/>
      <c r="D24" s="9"/>
      <c r="E24" s="9"/>
      <c r="F24" s="9"/>
      <c r="G24" s="9"/>
      <c r="H24" s="9"/>
    </row>
    <row r="25" spans="2:8" ht="20.399999999999999" thickBot="1">
      <c r="B25" s="5">
        <v>10</v>
      </c>
      <c r="C25" s="9"/>
      <c r="D25" s="9"/>
      <c r="E25" s="9"/>
      <c r="F25" s="9"/>
      <c r="G25" s="9"/>
      <c r="H25" s="9"/>
    </row>
    <row r="26" spans="2:8" ht="20.399999999999999" thickBot="1">
      <c r="B26" s="5">
        <v>11</v>
      </c>
      <c r="C26" s="9"/>
      <c r="D26" s="9"/>
      <c r="E26" s="9"/>
      <c r="F26" s="9"/>
      <c r="G26" s="9"/>
      <c r="H26" s="9"/>
    </row>
    <row r="27" spans="2:8" ht="20.399999999999999" thickBot="1">
      <c r="B27" s="5">
        <v>12</v>
      </c>
      <c r="C27" s="9"/>
      <c r="D27" s="9"/>
      <c r="E27" s="9"/>
      <c r="F27" s="9"/>
      <c r="G27" s="9"/>
      <c r="H27" s="9"/>
    </row>
    <row r="28" spans="2:8" ht="20.399999999999999" thickBot="1">
      <c r="B28" s="5">
        <v>13</v>
      </c>
      <c r="C28" s="9"/>
      <c r="D28" s="9"/>
      <c r="E28" s="9"/>
      <c r="F28" s="9"/>
      <c r="G28" s="9"/>
      <c r="H28" s="9"/>
    </row>
    <row r="29" spans="2:8" ht="20.399999999999999" thickBot="1">
      <c r="B29" s="5">
        <v>14</v>
      </c>
      <c r="C29" s="9"/>
      <c r="D29" s="9"/>
      <c r="E29" s="9"/>
      <c r="F29" s="9"/>
      <c r="G29" s="9"/>
      <c r="H29" s="9"/>
    </row>
    <row r="30" spans="2:8" ht="20.399999999999999" thickBot="1">
      <c r="B30" s="5">
        <v>15</v>
      </c>
      <c r="C30" s="9"/>
      <c r="D30" s="9"/>
      <c r="E30" s="9"/>
      <c r="F30" s="9"/>
      <c r="G30" s="9"/>
      <c r="H30" s="9"/>
    </row>
    <row r="32" spans="2:8" ht="11.55" customHeight="1"/>
    <row r="33" spans="2:8" ht="19.8">
      <c r="B33" s="10" t="s">
        <v>44</v>
      </c>
    </row>
    <row r="35" spans="2:8" ht="21" customHeight="1">
      <c r="B35" s="24"/>
      <c r="C35" s="114" t="s">
        <v>20</v>
      </c>
      <c r="D35" s="114"/>
      <c r="E35" s="114"/>
      <c r="F35" s="114"/>
      <c r="G35" s="114"/>
      <c r="H35" s="115"/>
    </row>
    <row r="36" spans="2:8" ht="38.549999999999997" customHeight="1">
      <c r="B36" s="116" t="s">
        <v>45</v>
      </c>
      <c r="C36" s="117"/>
      <c r="D36" s="118"/>
      <c r="E36" s="118"/>
      <c r="F36" s="118"/>
      <c r="G36" s="118"/>
      <c r="H36" s="119"/>
    </row>
    <row r="37" spans="2:8" ht="19.8">
      <c r="B37" s="123" t="s">
        <v>21</v>
      </c>
      <c r="C37" s="123"/>
      <c r="D37" s="120"/>
      <c r="E37" s="120"/>
      <c r="F37" s="120"/>
      <c r="G37" s="120"/>
      <c r="H37" s="121"/>
    </row>
    <row r="38" spans="2:8" ht="19.8">
      <c r="B38" s="124" t="s">
        <v>22</v>
      </c>
      <c r="C38" s="124"/>
      <c r="D38" s="120"/>
      <c r="E38" s="120"/>
      <c r="F38" s="120"/>
      <c r="G38" s="120"/>
      <c r="H38" s="121"/>
    </row>
    <row r="39" spans="2:8" ht="19.8">
      <c r="B39" s="124" t="s">
        <v>23</v>
      </c>
      <c r="C39" s="124"/>
      <c r="D39" s="122"/>
      <c r="E39" s="120"/>
      <c r="F39" s="120"/>
      <c r="G39" s="120"/>
      <c r="H39" s="121"/>
    </row>
    <row r="40" spans="2:8" ht="14.55" customHeight="1">
      <c r="B40" s="132" t="s">
        <v>24</v>
      </c>
      <c r="C40" s="133"/>
      <c r="D40" s="129" t="s">
        <v>25</v>
      </c>
      <c r="E40" s="140" t="s">
        <v>26</v>
      </c>
      <c r="F40" s="114"/>
      <c r="G40" s="114"/>
      <c r="H40" s="115"/>
    </row>
    <row r="41" spans="2:8" ht="18.45" customHeight="1">
      <c r="B41" s="134"/>
      <c r="C41" s="135"/>
      <c r="D41" s="130"/>
      <c r="E41" s="125" t="s">
        <v>27</v>
      </c>
      <c r="F41" s="126"/>
      <c r="G41" s="125" t="s">
        <v>29</v>
      </c>
      <c r="H41" s="126"/>
    </row>
    <row r="42" spans="2:8" ht="15" customHeight="1">
      <c r="B42" s="134"/>
      <c r="C42" s="135"/>
      <c r="D42" s="130"/>
      <c r="E42" s="138" t="s">
        <v>28</v>
      </c>
      <c r="F42" s="139"/>
      <c r="G42" s="138" t="s">
        <v>30</v>
      </c>
      <c r="H42" s="139"/>
    </row>
    <row r="43" spans="2:8" ht="15" customHeight="1">
      <c r="B43" s="134"/>
      <c r="C43" s="135"/>
      <c r="D43" s="130"/>
      <c r="E43" s="26"/>
      <c r="F43" s="22"/>
      <c r="G43" s="26"/>
      <c r="H43" s="22"/>
    </row>
    <row r="44" spans="2:8">
      <c r="B44" s="136"/>
      <c r="C44" s="137"/>
      <c r="D44" s="131"/>
      <c r="E44" s="27"/>
      <c r="F44" s="23"/>
      <c r="G44" s="27"/>
      <c r="H44" s="23"/>
    </row>
    <row r="45" spans="2:8" ht="28.2" customHeight="1">
      <c r="B45" s="125" t="s">
        <v>31</v>
      </c>
      <c r="C45" s="126"/>
      <c r="D45" s="25"/>
      <c r="E45" s="28"/>
      <c r="F45" s="31"/>
      <c r="G45" s="33"/>
      <c r="H45" s="21"/>
    </row>
    <row r="46" spans="2:8" ht="15.45" customHeight="1">
      <c r="B46" s="127"/>
      <c r="C46" s="128"/>
      <c r="D46" s="30"/>
      <c r="E46" s="29"/>
      <c r="F46" s="32"/>
      <c r="G46" s="34"/>
      <c r="H46" s="23"/>
    </row>
  </sheetData>
  <mergeCells count="24">
    <mergeCell ref="B3:G3"/>
    <mergeCell ref="G7:H7"/>
    <mergeCell ref="G8:H9"/>
    <mergeCell ref="B13:C15"/>
    <mergeCell ref="D13:H13"/>
    <mergeCell ref="D14:D15"/>
    <mergeCell ref="E14:E15"/>
    <mergeCell ref="H14:H15"/>
    <mergeCell ref="B45:C46"/>
    <mergeCell ref="D40:D44"/>
    <mergeCell ref="B40:C44"/>
    <mergeCell ref="G41:H41"/>
    <mergeCell ref="G42:H42"/>
    <mergeCell ref="E40:H40"/>
    <mergeCell ref="E41:F41"/>
    <mergeCell ref="E42:F42"/>
    <mergeCell ref="C35:H35"/>
    <mergeCell ref="B36:H36"/>
    <mergeCell ref="D37:H37"/>
    <mergeCell ref="D38:H38"/>
    <mergeCell ref="D39:H39"/>
    <mergeCell ref="B37:C37"/>
    <mergeCell ref="B38:C38"/>
    <mergeCell ref="B39:C39"/>
  </mergeCells>
  <pageMargins left="0.7" right="0.7" top="0.75" bottom="0.75" header="0.3" footer="0.3"/>
  <pageSetup paperSize="9" orientation="portrait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4" name="Check Box 3">
              <controlPr defaultSize="0" autoFill="0" autoLine="0" autoPict="0">
                <anchor moveWithCells="1">
                  <from>
                    <xdr:col>2</xdr:col>
                    <xdr:colOff>708660</xdr:colOff>
                    <xdr:row>3</xdr:row>
                    <xdr:rowOff>403860</xdr:rowOff>
                  </from>
                  <to>
                    <xdr:col>2</xdr:col>
                    <xdr:colOff>1813560</xdr:colOff>
                    <xdr:row>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Check Box 4">
              <controlPr defaultSize="0" autoFill="0" autoLine="0" autoPict="0">
                <anchor moveWithCells="1">
                  <from>
                    <xdr:col>2</xdr:col>
                    <xdr:colOff>1562100</xdr:colOff>
                    <xdr:row>3</xdr:row>
                    <xdr:rowOff>403860</xdr:rowOff>
                  </from>
                  <to>
                    <xdr:col>2</xdr:col>
                    <xdr:colOff>2651760</xdr:colOff>
                    <xdr:row>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6" name="Check Box 12">
              <controlPr defaultSize="0" autoFill="0" autoLine="0" autoPict="0">
                <anchor moveWithCells="1">
                  <from>
                    <xdr:col>2</xdr:col>
                    <xdr:colOff>548640</xdr:colOff>
                    <xdr:row>35</xdr:row>
                    <xdr:rowOff>91440</xdr:rowOff>
                  </from>
                  <to>
                    <xdr:col>2</xdr:col>
                    <xdr:colOff>1280160</xdr:colOff>
                    <xdr:row>35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7" name="Check Box 13">
              <controlPr defaultSize="0" autoFill="0" autoLine="0" autoPict="0">
                <anchor moveWithCells="1">
                  <from>
                    <xdr:col>2</xdr:col>
                    <xdr:colOff>1234440</xdr:colOff>
                    <xdr:row>35</xdr:row>
                    <xdr:rowOff>91440</xdr:rowOff>
                  </from>
                  <to>
                    <xdr:col>2</xdr:col>
                    <xdr:colOff>1958340</xdr:colOff>
                    <xdr:row>35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8" name="Check Box 14">
              <controlPr defaultSize="0" autoFill="0" autoLine="0" autoPict="0">
                <anchor moveWithCells="1">
                  <from>
                    <xdr:col>2</xdr:col>
                    <xdr:colOff>1920240</xdr:colOff>
                    <xdr:row>35</xdr:row>
                    <xdr:rowOff>91440</xdr:rowOff>
                  </from>
                  <to>
                    <xdr:col>2</xdr:col>
                    <xdr:colOff>2651760</xdr:colOff>
                    <xdr:row>35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9" name="Check Box 15">
              <controlPr defaultSize="0" autoFill="0" autoLine="0" autoPict="0">
                <anchor moveWithCells="1">
                  <from>
                    <xdr:col>2</xdr:col>
                    <xdr:colOff>2461260</xdr:colOff>
                    <xdr:row>35</xdr:row>
                    <xdr:rowOff>91440</xdr:rowOff>
                  </from>
                  <to>
                    <xdr:col>3</xdr:col>
                    <xdr:colOff>441960</xdr:colOff>
                    <xdr:row>35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0" name="Check Box 16">
              <controlPr defaultSize="0" autoFill="0" autoLine="0" autoPict="0">
                <anchor moveWithCells="1">
                  <from>
                    <xdr:col>3</xdr:col>
                    <xdr:colOff>396240</xdr:colOff>
                    <xdr:row>35</xdr:row>
                    <xdr:rowOff>91440</xdr:rowOff>
                  </from>
                  <to>
                    <xdr:col>4</xdr:col>
                    <xdr:colOff>243840</xdr:colOff>
                    <xdr:row>35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1" name="Check Box 17">
              <controlPr defaultSize="0" autoFill="0" autoLine="0" autoPict="0">
                <anchor moveWithCells="1">
                  <from>
                    <xdr:col>4</xdr:col>
                    <xdr:colOff>137160</xdr:colOff>
                    <xdr:row>35</xdr:row>
                    <xdr:rowOff>91440</xdr:rowOff>
                  </from>
                  <to>
                    <xdr:col>5</xdr:col>
                    <xdr:colOff>91440</xdr:colOff>
                    <xdr:row>35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2" name="Check Box 18">
              <controlPr defaultSize="0" autoFill="0" autoLine="0" autoPict="0">
                <anchor moveWithCells="1">
                  <from>
                    <xdr:col>5</xdr:col>
                    <xdr:colOff>175260</xdr:colOff>
                    <xdr:row>35</xdr:row>
                    <xdr:rowOff>99060</xdr:rowOff>
                  </from>
                  <to>
                    <xdr:col>6</xdr:col>
                    <xdr:colOff>251460</xdr:colOff>
                    <xdr:row>35</xdr:row>
                    <xdr:rowOff>396240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3" name="Check Box 19">
              <controlPr defaultSize="0" autoFill="0" autoLine="0" autoPict="0">
                <anchor moveWithCells="1">
                  <from>
                    <xdr:col>4</xdr:col>
                    <xdr:colOff>99060</xdr:colOff>
                    <xdr:row>43</xdr:row>
                    <xdr:rowOff>167640</xdr:rowOff>
                  </from>
                  <to>
                    <xdr:col>6</xdr:col>
                    <xdr:colOff>175260</xdr:colOff>
                    <xdr:row>44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4" name="Check Box 20">
              <controlPr defaultSize="0" autoFill="0" autoLine="0" autoPict="0">
                <anchor moveWithCells="1">
                  <from>
                    <xdr:col>4</xdr:col>
                    <xdr:colOff>91440</xdr:colOff>
                    <xdr:row>44</xdr:row>
                    <xdr:rowOff>251460</xdr:rowOff>
                  </from>
                  <to>
                    <xdr:col>6</xdr:col>
                    <xdr:colOff>167640</xdr:colOff>
                    <xdr:row>45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1085-B667-4670-99A2-386AD4920D8B}">
  <dimension ref="A1:N31"/>
  <sheetViews>
    <sheetView topLeftCell="B14" zoomScale="117" zoomScaleNormal="117" workbookViewId="0">
      <selection activeCell="D28" sqref="D28:H29"/>
    </sheetView>
  </sheetViews>
  <sheetFormatPr defaultColWidth="8.77734375" defaultRowHeight="14.4"/>
  <cols>
    <col min="1" max="1" width="9.44140625" bestFit="1" customWidth="1"/>
    <col min="3" max="3" width="22.6640625" customWidth="1"/>
    <col min="4" max="4" width="12.77734375" customWidth="1"/>
    <col min="5" max="5" width="9.6640625" bestFit="1" customWidth="1"/>
    <col min="6" max="6" width="10.77734375" customWidth="1"/>
    <col min="7" max="7" width="20.33203125" customWidth="1"/>
    <col min="8" max="8" width="17.77734375" customWidth="1"/>
    <col min="9" max="9" width="23.44140625" customWidth="1"/>
    <col min="10" max="10" width="11.6640625" customWidth="1"/>
    <col min="11" max="11" width="10.44140625" customWidth="1"/>
    <col min="14" max="14" width="0" hidden="1" customWidth="1"/>
  </cols>
  <sheetData>
    <row r="1" spans="1:11" hidden="1"/>
    <row r="2" spans="1:11" hidden="1">
      <c r="D2" t="s">
        <v>72</v>
      </c>
    </row>
    <row r="3" spans="1:11" hidden="1">
      <c r="A3" s="59" t="s">
        <v>68</v>
      </c>
      <c r="B3" s="59" t="s">
        <v>46</v>
      </c>
      <c r="C3" s="59" t="s">
        <v>61</v>
      </c>
      <c r="D3" s="59" t="s">
        <v>47</v>
      </c>
      <c r="E3" s="59" t="s">
        <v>34</v>
      </c>
      <c r="F3" s="59" t="s">
        <v>33</v>
      </c>
      <c r="G3" s="59" t="s">
        <v>6</v>
      </c>
      <c r="H3" s="59" t="s">
        <v>3</v>
      </c>
      <c r="I3" s="59" t="s">
        <v>71</v>
      </c>
    </row>
    <row r="4" spans="1:11" ht="16.8" hidden="1" customHeight="1">
      <c r="A4" s="60">
        <f ca="1">TODAY()</f>
        <v>45005</v>
      </c>
      <c r="B4" s="59">
        <v>123</v>
      </c>
      <c r="C4" s="59" t="s">
        <v>60</v>
      </c>
      <c r="D4" s="59" t="s">
        <v>69</v>
      </c>
      <c r="E4" s="59" t="s">
        <v>58</v>
      </c>
      <c r="F4" s="59" t="s">
        <v>51</v>
      </c>
      <c r="G4" s="59" t="s">
        <v>50</v>
      </c>
      <c r="H4" s="59">
        <v>500</v>
      </c>
      <c r="I4" s="59">
        <v>135</v>
      </c>
      <c r="J4" s="55"/>
    </row>
    <row r="5" spans="1:11" hidden="1"/>
    <row r="6" spans="1:11" hidden="1"/>
    <row r="7" spans="1:11" hidden="1"/>
    <row r="9" spans="1:11">
      <c r="C9" s="161" t="s">
        <v>7</v>
      </c>
      <c r="D9" s="161"/>
      <c r="E9" s="161"/>
      <c r="F9" s="161"/>
      <c r="G9" s="161"/>
      <c r="H9" s="161"/>
      <c r="I9" s="161"/>
      <c r="J9" s="161"/>
      <c r="K9" s="161"/>
    </row>
    <row r="10" spans="1:11">
      <c r="K10" s="37">
        <f ca="1">TODAY()</f>
        <v>45005</v>
      </c>
    </row>
    <row r="11" spans="1:11" ht="15" thickBot="1">
      <c r="I11" s="37"/>
    </row>
    <row r="12" spans="1:11">
      <c r="C12" s="38" t="s">
        <v>57</v>
      </c>
      <c r="D12" s="39" t="e">
        <f>#REF!</f>
        <v>#REF!</v>
      </c>
      <c r="E12" s="40" t="s">
        <v>33</v>
      </c>
      <c r="F12" s="39" t="e">
        <f>#REF!</f>
        <v>#REF!</v>
      </c>
      <c r="G12" s="40" t="s">
        <v>34</v>
      </c>
      <c r="H12" s="39" t="e">
        <f>#REF!</f>
        <v>#REF!</v>
      </c>
      <c r="I12" s="38" t="s">
        <v>3</v>
      </c>
      <c r="J12" s="41" t="e">
        <f>#REF!</f>
        <v>#REF!</v>
      </c>
      <c r="K12" s="49" t="s">
        <v>9</v>
      </c>
    </row>
    <row r="13" spans="1:11">
      <c r="C13" s="42" t="s">
        <v>66</v>
      </c>
      <c r="D13" t="e">
        <f>#REF!</f>
        <v>#REF!</v>
      </c>
      <c r="E13" s="65" t="s">
        <v>48</v>
      </c>
      <c r="F13" s="36" t="e">
        <f>#REF!</f>
        <v>#REF!</v>
      </c>
      <c r="G13" s="65" t="s">
        <v>5</v>
      </c>
      <c r="H13" t="e">
        <f>#REF!</f>
        <v>#REF!</v>
      </c>
      <c r="I13" s="42" t="s">
        <v>71</v>
      </c>
      <c r="J13" s="43" t="e">
        <f>#REF!</f>
        <v>#REF!</v>
      </c>
      <c r="K13" s="50" t="e">
        <f>#REF!</f>
        <v>#REF!</v>
      </c>
    </row>
    <row r="14" spans="1:11" ht="15" thickBot="1">
      <c r="C14" s="44" t="s">
        <v>81</v>
      </c>
      <c r="D14" s="45" t="e">
        <f>#REF!</f>
        <v>#REF!</v>
      </c>
      <c r="E14" s="46" t="s">
        <v>61</v>
      </c>
      <c r="F14" s="45" t="e">
        <f>#REF!</f>
        <v>#REF!</v>
      </c>
      <c r="G14" s="45"/>
      <c r="H14" s="45"/>
      <c r="I14" s="44"/>
      <c r="J14" s="47"/>
      <c r="K14" s="48"/>
    </row>
    <row r="16" spans="1:11" ht="47.55" customHeight="1">
      <c r="C16" s="54" t="s">
        <v>10</v>
      </c>
      <c r="H16" s="52" t="s">
        <v>64</v>
      </c>
      <c r="I16" s="56" t="s">
        <v>65</v>
      </c>
    </row>
    <row r="18" spans="2:14" ht="31.8" customHeight="1">
      <c r="C18" s="51" t="s">
        <v>11</v>
      </c>
      <c r="D18" s="51" t="s">
        <v>73</v>
      </c>
      <c r="E18" s="51" t="s">
        <v>62</v>
      </c>
      <c r="F18" s="51" t="s">
        <v>63</v>
      </c>
      <c r="G18" s="51" t="s">
        <v>54</v>
      </c>
      <c r="H18" s="51" t="s">
        <v>55</v>
      </c>
      <c r="I18" s="51" t="s">
        <v>75</v>
      </c>
      <c r="J18" s="51" t="s">
        <v>80</v>
      </c>
    </row>
    <row r="19" spans="2:14">
      <c r="B19">
        <v>1</v>
      </c>
      <c r="C19" t="e">
        <f>#REF!</f>
        <v>#REF!</v>
      </c>
      <c r="D19" t="e">
        <f>IF(ISBLANK(#REF!),"",#REF!)</f>
        <v>#REF!</v>
      </c>
      <c r="E19" t="e">
        <f>IF(ISBLANK(#REF!),"",#REF!)</f>
        <v>#REF!</v>
      </c>
      <c r="F19" s="53" t="e">
        <f>(D19/$J$12)</f>
        <v>#REF!</v>
      </c>
      <c r="I19" t="e">
        <f>IF(ISBLANK(#REF!),"",#REF!)</f>
        <v>#REF!</v>
      </c>
      <c r="J19" s="66" t="e">
        <f>#REF!</f>
        <v>#REF!</v>
      </c>
      <c r="N19" t="s">
        <v>91</v>
      </c>
    </row>
    <row r="20" spans="2:14">
      <c r="B20">
        <v>2</v>
      </c>
      <c r="C20" t="e">
        <f>#REF!</f>
        <v>#REF!</v>
      </c>
      <c r="D20" t="e">
        <f>IF(ISBLANK(#REF!),"",#REF!)</f>
        <v>#REF!</v>
      </c>
      <c r="E20" t="e">
        <f>IF(ISBLANK(#REF!),"",#REF!)</f>
        <v>#REF!</v>
      </c>
      <c r="F20" s="53" t="e">
        <f>(D20/$J$12)</f>
        <v>#REF!</v>
      </c>
      <c r="I20" t="e">
        <f>IF(ISBLANK(#REF!),"",#REF!)</f>
        <v>#REF!</v>
      </c>
      <c r="J20" s="66" t="e">
        <f>#REF!</f>
        <v>#REF!</v>
      </c>
      <c r="N20" t="s">
        <v>92</v>
      </c>
    </row>
    <row r="21" spans="2:14" ht="15.45" customHeight="1">
      <c r="B21">
        <v>3</v>
      </c>
      <c r="C21" t="e">
        <f>#REF!</f>
        <v>#REF!</v>
      </c>
      <c r="D21" t="e">
        <f>IF(ISBLANK(#REF!),"",#REF!)</f>
        <v>#REF!</v>
      </c>
      <c r="E21" t="e">
        <f>IF(ISBLANK(#REF!),"",#REF!)</f>
        <v>#REF!</v>
      </c>
      <c r="F21" s="53" t="e">
        <f>(D21/$J$12)</f>
        <v>#REF!</v>
      </c>
      <c r="I21" t="e">
        <f>IF(ISBLANK(#REF!),"",#REF!)</f>
        <v>#REF!</v>
      </c>
      <c r="J21" s="66" t="e">
        <f>#REF!</f>
        <v>#REF!</v>
      </c>
      <c r="K21" s="61"/>
      <c r="N21" t="s">
        <v>93</v>
      </c>
    </row>
    <row r="22" spans="2:14" ht="15.45" customHeight="1">
      <c r="K22" s="61"/>
    </row>
    <row r="23" spans="2:14" ht="15.45" customHeight="1">
      <c r="K23" s="61"/>
    </row>
    <row r="24" spans="2:14" ht="19.8">
      <c r="J24" s="57"/>
      <c r="K24" s="61"/>
    </row>
    <row r="25" spans="2:14">
      <c r="C25" s="36" t="s">
        <v>21</v>
      </c>
      <c r="D25" t="e">
        <f>#REF!</f>
        <v>#REF!</v>
      </c>
      <c r="J25" s="58"/>
    </row>
    <row r="26" spans="2:14" hidden="1">
      <c r="C26" s="36" t="s">
        <v>74</v>
      </c>
    </row>
    <row r="27" spans="2:14">
      <c r="C27" s="36"/>
    </row>
    <row r="28" spans="2:14">
      <c r="C28" s="63" t="s">
        <v>76</v>
      </c>
      <c r="D28" s="162"/>
      <c r="E28" s="163"/>
      <c r="F28" s="163"/>
      <c r="G28" s="163"/>
      <c r="H28" s="164"/>
    </row>
    <row r="29" spans="2:14">
      <c r="C29" s="63"/>
      <c r="D29" s="165"/>
      <c r="E29" s="166"/>
      <c r="F29" s="166"/>
      <c r="G29" s="166"/>
      <c r="H29" s="167"/>
    </row>
    <row r="30" spans="2:14">
      <c r="C30" s="63"/>
      <c r="D30" s="64"/>
      <c r="E30" s="64"/>
      <c r="F30" s="64"/>
      <c r="G30" s="64"/>
      <c r="H30" s="64"/>
    </row>
    <row r="31" spans="2:14">
      <c r="C31" s="63" t="s">
        <v>25</v>
      </c>
      <c r="D31" s="64" t="s">
        <v>91</v>
      </c>
      <c r="E31" s="64"/>
      <c r="F31" s="64"/>
      <c r="G31" s="64"/>
      <c r="H31" s="64"/>
    </row>
  </sheetData>
  <mergeCells count="2">
    <mergeCell ref="C9:K9"/>
    <mergeCell ref="D28:H29"/>
  </mergeCells>
  <dataValidations count="2">
    <dataValidation type="list" allowBlank="1" showInputMessage="1" showErrorMessage="1" sqref="I16" xr:uid="{536376B0-A0E1-4ADB-93A2-63D8271CE278}">
      <formula1>$N$14:$N$16</formula1>
    </dataValidation>
    <dataValidation type="list" allowBlank="1" showInputMessage="1" showErrorMessage="1" sqref="D31" xr:uid="{BB17FCB0-A3FB-49E5-832D-F1868C6F4936}">
      <formula1>$N$19:$N$21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3" name="Check Box 1">
              <controlPr defaultSize="0" autoFill="0" autoLine="0" autoPict="0">
                <anchor moveWithCells="1">
                  <from>
                    <xdr:col>6</xdr:col>
                    <xdr:colOff>624840</xdr:colOff>
                    <xdr:row>18</xdr:row>
                    <xdr:rowOff>137160</xdr:rowOff>
                  </from>
                  <to>
                    <xdr:col>6</xdr:col>
                    <xdr:colOff>853440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4" name="Check Box 2">
              <controlPr defaultSize="0" autoFill="0" autoLine="0" autoPict="0">
                <anchor moveWithCells="1">
                  <from>
                    <xdr:col>6</xdr:col>
                    <xdr:colOff>624840</xdr:colOff>
                    <xdr:row>17</xdr:row>
                    <xdr:rowOff>815340</xdr:rowOff>
                  </from>
                  <to>
                    <xdr:col>6</xdr:col>
                    <xdr:colOff>853440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5" name="Check Box 3">
              <controlPr defaultSize="0" autoFill="0" autoLine="0" autoPict="0">
                <anchor moveWithCells="1">
                  <from>
                    <xdr:col>6</xdr:col>
                    <xdr:colOff>624840</xdr:colOff>
                    <xdr:row>19</xdr:row>
                    <xdr:rowOff>167640</xdr:rowOff>
                  </from>
                  <to>
                    <xdr:col>6</xdr:col>
                    <xdr:colOff>853440</xdr:colOff>
                    <xdr:row>21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2" r:id="rId6" name="Check Box 4">
              <controlPr defaultSize="0" autoFill="0" autoLine="0" autoPict="0">
                <anchor moveWithCells="1">
                  <from>
                    <xdr:col>7</xdr:col>
                    <xdr:colOff>480060</xdr:colOff>
                    <xdr:row>18</xdr:row>
                    <xdr:rowOff>129540</xdr:rowOff>
                  </from>
                  <to>
                    <xdr:col>7</xdr:col>
                    <xdr:colOff>708660</xdr:colOff>
                    <xdr:row>20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3" r:id="rId7" name="Check Box 5">
              <controlPr defaultSize="0" autoFill="0" autoLine="0" autoPict="0">
                <anchor moveWithCells="1">
                  <from>
                    <xdr:col>7</xdr:col>
                    <xdr:colOff>480060</xdr:colOff>
                    <xdr:row>17</xdr:row>
                    <xdr:rowOff>365760</xdr:rowOff>
                  </from>
                  <to>
                    <xdr:col>7</xdr:col>
                    <xdr:colOff>708660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4" r:id="rId8" name="Check Box 6">
              <controlPr defaultSize="0" autoFill="0" autoLine="0" autoPict="0">
                <anchor moveWithCells="1">
                  <from>
                    <xdr:col>7</xdr:col>
                    <xdr:colOff>480060</xdr:colOff>
                    <xdr:row>19</xdr:row>
                    <xdr:rowOff>137160</xdr:rowOff>
                  </from>
                  <to>
                    <xdr:col>7</xdr:col>
                    <xdr:colOff>708660</xdr:colOff>
                    <xdr:row>21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C335-1841-4362-90C3-1935F09A6F73}">
  <dimension ref="A1:K34"/>
  <sheetViews>
    <sheetView topLeftCell="A12" zoomScale="98" zoomScaleNormal="98" workbookViewId="0">
      <selection activeCell="D28" sqref="D28:H29"/>
    </sheetView>
  </sheetViews>
  <sheetFormatPr defaultColWidth="8.77734375" defaultRowHeight="14.4"/>
  <cols>
    <col min="1" max="1" width="9.44140625" bestFit="1" customWidth="1"/>
    <col min="3" max="3" width="22.6640625" customWidth="1"/>
    <col min="4" max="4" width="12.77734375" customWidth="1"/>
    <col min="5" max="5" width="9.6640625" bestFit="1" customWidth="1"/>
    <col min="6" max="6" width="10.77734375" customWidth="1"/>
    <col min="7" max="7" width="20.33203125" customWidth="1"/>
    <col min="8" max="8" width="17.77734375" customWidth="1"/>
    <col min="9" max="9" width="23.44140625" customWidth="1"/>
    <col min="10" max="10" width="11.6640625" customWidth="1"/>
    <col min="11" max="11" width="10.44140625" customWidth="1"/>
  </cols>
  <sheetData>
    <row r="1" spans="1:11" hidden="1"/>
    <row r="2" spans="1:11" hidden="1">
      <c r="D2" t="s">
        <v>72</v>
      </c>
    </row>
    <row r="3" spans="1:11" hidden="1">
      <c r="A3" s="59" t="s">
        <v>68</v>
      </c>
      <c r="B3" s="59" t="s">
        <v>46</v>
      </c>
      <c r="C3" s="59" t="s">
        <v>61</v>
      </c>
      <c r="D3" s="59" t="s">
        <v>47</v>
      </c>
      <c r="E3" s="59" t="s">
        <v>34</v>
      </c>
      <c r="F3" s="59" t="s">
        <v>33</v>
      </c>
      <c r="G3" s="59" t="s">
        <v>6</v>
      </c>
      <c r="H3" s="59" t="s">
        <v>3</v>
      </c>
      <c r="I3" s="59" t="s">
        <v>71</v>
      </c>
    </row>
    <row r="4" spans="1:11" ht="16.8" hidden="1" customHeight="1">
      <c r="A4" s="60">
        <f ca="1">TODAY()</f>
        <v>45005</v>
      </c>
      <c r="B4" s="59">
        <v>123</v>
      </c>
      <c r="C4" s="59" t="s">
        <v>60</v>
      </c>
      <c r="D4" s="59" t="s">
        <v>69</v>
      </c>
      <c r="E4" s="59" t="s">
        <v>58</v>
      </c>
      <c r="F4" s="59" t="s">
        <v>51</v>
      </c>
      <c r="G4" s="59" t="s">
        <v>50</v>
      </c>
      <c r="H4" s="59">
        <v>500</v>
      </c>
      <c r="I4" s="59">
        <v>135</v>
      </c>
      <c r="J4" s="55"/>
    </row>
    <row r="5" spans="1:11" hidden="1"/>
    <row r="6" spans="1:11" hidden="1"/>
    <row r="7" spans="1:11" hidden="1"/>
    <row r="9" spans="1:11">
      <c r="C9" s="161" t="s">
        <v>7</v>
      </c>
      <c r="D9" s="161"/>
      <c r="E9" s="161"/>
      <c r="F9" s="161"/>
      <c r="G9" s="161"/>
      <c r="H9" s="161"/>
      <c r="I9" s="161"/>
      <c r="J9" s="161"/>
      <c r="K9" s="161"/>
    </row>
    <row r="10" spans="1:11">
      <c r="K10" s="37">
        <f ca="1">TODAY()</f>
        <v>45005</v>
      </c>
    </row>
    <row r="11" spans="1:11" ht="15" thickBot="1">
      <c r="I11" s="37"/>
    </row>
    <row r="12" spans="1:11">
      <c r="C12" s="38" t="s">
        <v>57</v>
      </c>
      <c r="D12" s="39" t="e">
        <f>#REF!</f>
        <v>#REF!</v>
      </c>
      <c r="E12" s="40" t="s">
        <v>33</v>
      </c>
      <c r="F12" s="39" t="e">
        <f>#REF!</f>
        <v>#REF!</v>
      </c>
      <c r="G12" s="40" t="s">
        <v>34</v>
      </c>
      <c r="H12" s="39" t="e">
        <f>#REF!</f>
        <v>#REF!</v>
      </c>
      <c r="I12" s="38" t="s">
        <v>3</v>
      </c>
      <c r="J12" s="41" t="e">
        <f>#REF!</f>
        <v>#REF!</v>
      </c>
      <c r="K12" s="49" t="s">
        <v>9</v>
      </c>
    </row>
    <row r="13" spans="1:11">
      <c r="C13" s="42" t="s">
        <v>66</v>
      </c>
      <c r="D13" t="e">
        <f>#REF!</f>
        <v>#REF!</v>
      </c>
      <c r="E13" s="65" t="s">
        <v>48</v>
      </c>
      <c r="F13" t="e">
        <f>#REF!</f>
        <v>#REF!</v>
      </c>
      <c r="G13" s="65" t="s">
        <v>5</v>
      </c>
      <c r="H13" t="e">
        <f>#REF!</f>
        <v>#REF!</v>
      </c>
      <c r="I13" s="42" t="s">
        <v>71</v>
      </c>
      <c r="J13" s="43" t="e">
        <f>#REF!</f>
        <v>#REF!</v>
      </c>
      <c r="K13" s="50" t="e">
        <f>#REF!</f>
        <v>#REF!</v>
      </c>
    </row>
    <row r="14" spans="1:11" ht="15" thickBot="1">
      <c r="C14" s="44" t="s">
        <v>81</v>
      </c>
      <c r="D14" s="45" t="e">
        <f>#REF!</f>
        <v>#REF!</v>
      </c>
      <c r="E14" s="46" t="s">
        <v>61</v>
      </c>
      <c r="F14" s="45" t="e">
        <f>#REF!</f>
        <v>#REF!</v>
      </c>
      <c r="G14" s="45"/>
      <c r="H14" s="45"/>
      <c r="I14" s="44"/>
      <c r="J14" s="47"/>
      <c r="K14" s="48"/>
    </row>
    <row r="16" spans="1:11" ht="47.55" customHeight="1">
      <c r="C16" s="54" t="s">
        <v>10</v>
      </c>
      <c r="H16" s="52" t="s">
        <v>64</v>
      </c>
      <c r="I16" s="56" t="s">
        <v>65</v>
      </c>
    </row>
    <row r="18" spans="2:11" ht="31.8" customHeight="1">
      <c r="C18" s="51" t="s">
        <v>11</v>
      </c>
      <c r="D18" s="51" t="s">
        <v>73</v>
      </c>
      <c r="E18" s="51" t="s">
        <v>62</v>
      </c>
      <c r="F18" s="51" t="s">
        <v>63</v>
      </c>
      <c r="G18" s="51" t="s">
        <v>54</v>
      </c>
      <c r="H18" s="51" t="s">
        <v>55</v>
      </c>
      <c r="I18" s="51" t="s">
        <v>75</v>
      </c>
      <c r="J18" s="51" t="s">
        <v>80</v>
      </c>
    </row>
    <row r="19" spans="2:11">
      <c r="B19">
        <v>1</v>
      </c>
      <c r="C19" t="e">
        <f>#REF!</f>
        <v>#REF!</v>
      </c>
      <c r="D19" t="e">
        <f>IF(ISBLANK(#REF!),"",#REF!)</f>
        <v>#REF!</v>
      </c>
      <c r="E19" t="e">
        <f>IF(ISBLANK(#REF!),"",#REF!)</f>
        <v>#REF!</v>
      </c>
      <c r="F19" s="53" t="e">
        <f>(D19/$J$12)</f>
        <v>#REF!</v>
      </c>
      <c r="I19" t="e">
        <f>IF(ISBLANK(#REF!),"",#REF!)</f>
        <v>#REF!</v>
      </c>
      <c r="J19" s="66" t="e">
        <f>#REF!</f>
        <v>#REF!</v>
      </c>
    </row>
    <row r="20" spans="2:11">
      <c r="B20">
        <v>2</v>
      </c>
      <c r="C20" t="e">
        <f>#REF!</f>
        <v>#REF!</v>
      </c>
      <c r="D20" t="e">
        <f>IF(ISBLANK(#REF!),"",#REF!)</f>
        <v>#REF!</v>
      </c>
      <c r="E20" t="e">
        <f>IF(ISBLANK(#REF!),"",#REF!)</f>
        <v>#REF!</v>
      </c>
      <c r="F20" s="53" t="e">
        <f>(D20/$J$12)</f>
        <v>#REF!</v>
      </c>
      <c r="I20" t="e">
        <f>IF(ISBLANK(#REF!),"",#REF!)</f>
        <v>#REF!</v>
      </c>
      <c r="J20" s="66" t="e">
        <f>#REF!</f>
        <v>#REF!</v>
      </c>
    </row>
    <row r="21" spans="2:11" ht="15.45" customHeight="1">
      <c r="B21">
        <v>3</v>
      </c>
      <c r="C21" t="e">
        <f>#REF!</f>
        <v>#REF!</v>
      </c>
      <c r="D21" t="e">
        <f>IF(ISBLANK(#REF!),"",#REF!)</f>
        <v>#REF!</v>
      </c>
      <c r="E21" t="e">
        <f>IF(ISBLANK(#REF!),"",#REF!)</f>
        <v>#REF!</v>
      </c>
      <c r="F21" s="53" t="e">
        <f>(D21/$J$12)</f>
        <v>#REF!</v>
      </c>
      <c r="I21" t="e">
        <f>IF(ISBLANK(#REF!),"",#REF!)</f>
        <v>#REF!</v>
      </c>
      <c r="J21" s="66" t="e">
        <f>#REF!</f>
        <v>#REF!</v>
      </c>
      <c r="K21" s="61"/>
    </row>
    <row r="22" spans="2:11" ht="15.45" customHeight="1">
      <c r="K22" s="61"/>
    </row>
    <row r="23" spans="2:11" ht="15.45" customHeight="1">
      <c r="K23" s="61"/>
    </row>
    <row r="24" spans="2:11" ht="19.8">
      <c r="J24" s="57"/>
      <c r="K24" s="61"/>
    </row>
    <row r="25" spans="2:11">
      <c r="C25" s="36" t="s">
        <v>21</v>
      </c>
      <c r="D25" t="e">
        <f>#REF!</f>
        <v>#REF!</v>
      </c>
      <c r="J25" s="58"/>
    </row>
    <row r="26" spans="2:11" hidden="1">
      <c r="C26" s="36" t="s">
        <v>74</v>
      </c>
    </row>
    <row r="27" spans="2:11">
      <c r="C27" s="36"/>
    </row>
    <row r="28" spans="2:11">
      <c r="C28" s="36" t="s">
        <v>76</v>
      </c>
      <c r="D28" s="168" t="str">
        <f>IF(ISBLANK(QC!D28),"",QC!D28)</f>
        <v/>
      </c>
      <c r="E28" s="169"/>
      <c r="F28" s="169"/>
      <c r="G28" s="169"/>
      <c r="H28" s="170"/>
    </row>
    <row r="29" spans="2:11">
      <c r="C29" s="36"/>
      <c r="D29" s="171"/>
      <c r="E29" s="172"/>
      <c r="F29" s="172"/>
      <c r="G29" s="172"/>
      <c r="H29" s="173"/>
    </row>
    <row r="30" spans="2:11">
      <c r="C30" s="36"/>
    </row>
    <row r="31" spans="2:11">
      <c r="C31" s="36" t="s">
        <v>25</v>
      </c>
      <c r="D31" t="str">
        <f>QC!D31</f>
        <v>Tom</v>
      </c>
      <c r="E31" t="s">
        <v>106</v>
      </c>
      <c r="F31" t="str">
        <f>D34</f>
        <v>Mr.Donut</v>
      </c>
    </row>
    <row r="32" spans="2:11">
      <c r="C32" s="174" t="s">
        <v>77</v>
      </c>
      <c r="D32" s="64"/>
      <c r="E32" s="64"/>
      <c r="F32" s="64"/>
      <c r="G32" s="64"/>
      <c r="H32" s="64"/>
    </row>
    <row r="33" spans="3:8">
      <c r="C33" s="174"/>
      <c r="D33" s="64"/>
      <c r="E33" s="64"/>
      <c r="F33" s="64"/>
      <c r="G33" s="64"/>
      <c r="H33" s="64"/>
    </row>
    <row r="34" spans="3:8">
      <c r="C34" t="s">
        <v>78</v>
      </c>
      <c r="D34" t="s">
        <v>79</v>
      </c>
      <c r="F34" s="67">
        <f ca="1">TODAY()</f>
        <v>45005</v>
      </c>
    </row>
  </sheetData>
  <mergeCells count="3">
    <mergeCell ref="C9:K9"/>
    <mergeCell ref="D28:H29"/>
    <mergeCell ref="C32:C33"/>
  </mergeCells>
  <dataValidations count="1">
    <dataValidation type="list" allowBlank="1" showInputMessage="1" showErrorMessage="1" sqref="I16" xr:uid="{C4377647-8DB5-42DC-A1E2-EAE9F982FE34}">
      <formula1>$N$14:$N$16</formula1>
    </dataValidation>
  </dataValidations>
  <pageMargins left="0.7" right="0.7" top="0.75" bottom="0.75" header="0.3" footer="0.3"/>
  <pageSetup paperSize="9" orientation="portrait" horizontalDpi="200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4" r:id="rId4" name="Check Box 2">
              <controlPr defaultSize="0" autoFill="0" autoLine="0" autoPict="0">
                <anchor moveWithCells="1">
                  <from>
                    <xdr:col>6</xdr:col>
                    <xdr:colOff>624840</xdr:colOff>
                    <xdr:row>18</xdr:row>
                    <xdr:rowOff>137160</xdr:rowOff>
                  </from>
                  <to>
                    <xdr:col>6</xdr:col>
                    <xdr:colOff>853440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5" name="Check Box 24">
              <controlPr defaultSize="0" autoFill="0" autoLine="0" autoPict="0">
                <anchor moveWithCells="1">
                  <from>
                    <xdr:col>6</xdr:col>
                    <xdr:colOff>624840</xdr:colOff>
                    <xdr:row>17</xdr:row>
                    <xdr:rowOff>815340</xdr:rowOff>
                  </from>
                  <to>
                    <xdr:col>6</xdr:col>
                    <xdr:colOff>853440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6" name="Check Box 26">
              <controlPr defaultSize="0" autoFill="0" autoLine="0" autoPict="0">
                <anchor moveWithCells="1">
                  <from>
                    <xdr:col>6</xdr:col>
                    <xdr:colOff>624840</xdr:colOff>
                    <xdr:row>19</xdr:row>
                    <xdr:rowOff>167640</xdr:rowOff>
                  </from>
                  <to>
                    <xdr:col>6</xdr:col>
                    <xdr:colOff>853440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7" name="Check Box 34">
              <controlPr defaultSize="0" autoFill="0" autoLine="0" autoPict="0">
                <anchor moveWithCells="1">
                  <from>
                    <xdr:col>7</xdr:col>
                    <xdr:colOff>480060</xdr:colOff>
                    <xdr:row>18</xdr:row>
                    <xdr:rowOff>129540</xdr:rowOff>
                  </from>
                  <to>
                    <xdr:col>7</xdr:col>
                    <xdr:colOff>708660</xdr:colOff>
                    <xdr:row>20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8" name="Check Box 35">
              <controlPr defaultSize="0" autoFill="0" autoLine="0" autoPict="0">
                <anchor moveWithCells="1">
                  <from>
                    <xdr:col>7</xdr:col>
                    <xdr:colOff>480060</xdr:colOff>
                    <xdr:row>17</xdr:row>
                    <xdr:rowOff>365760</xdr:rowOff>
                  </from>
                  <to>
                    <xdr:col>7</xdr:col>
                    <xdr:colOff>708660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9" name="Check Box 37">
              <controlPr defaultSize="0" autoFill="0" autoLine="0" autoPict="0">
                <anchor moveWithCells="1">
                  <from>
                    <xdr:col>7</xdr:col>
                    <xdr:colOff>480060</xdr:colOff>
                    <xdr:row>19</xdr:row>
                    <xdr:rowOff>137160</xdr:rowOff>
                  </from>
                  <to>
                    <xdr:col>7</xdr:col>
                    <xdr:colOff>708660</xdr:colOff>
                    <xdr:row>21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6" r:id="rId10" name="Check Box 54">
              <controlPr defaultSize="0" autoFill="0" autoLine="0" autoPict="0">
                <anchor moveWithCells="1">
                  <from>
                    <xdr:col>3</xdr:col>
                    <xdr:colOff>15240</xdr:colOff>
                    <xdr:row>30</xdr:row>
                    <xdr:rowOff>129540</xdr:rowOff>
                  </from>
                  <to>
                    <xdr:col>4</xdr:col>
                    <xdr:colOff>662940</xdr:colOff>
                    <xdr:row>32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7" r:id="rId11" name="Check Box 55">
              <controlPr defaultSize="0" autoFill="0" autoLine="0" autoPict="0">
                <anchor moveWithCells="1">
                  <from>
                    <xdr:col>3</xdr:col>
                    <xdr:colOff>15240</xdr:colOff>
                    <xdr:row>31</xdr:row>
                    <xdr:rowOff>129540</xdr:rowOff>
                  </from>
                  <to>
                    <xdr:col>5</xdr:col>
                    <xdr:colOff>0</xdr:colOff>
                    <xdr:row>33</xdr:row>
                    <xdr:rowOff>53340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0C45-76D7-4511-83B4-8E6AB6F15F20}">
  <dimension ref="A1:U13"/>
  <sheetViews>
    <sheetView topLeftCell="A4" zoomScale="131" zoomScaleNormal="131" workbookViewId="0">
      <selection activeCell="I12" sqref="I12"/>
    </sheetView>
  </sheetViews>
  <sheetFormatPr defaultColWidth="8.77734375" defaultRowHeight="14.4"/>
  <cols>
    <col min="1" max="2" width="9.6640625" bestFit="1" customWidth="1"/>
    <col min="3" max="3" width="11.109375" customWidth="1"/>
    <col min="8" max="8" width="10" bestFit="1" customWidth="1"/>
    <col min="9" max="9" width="12.6640625" bestFit="1" customWidth="1"/>
    <col min="10" max="10" width="14.33203125" bestFit="1" customWidth="1"/>
    <col min="11" max="11" width="12.109375" bestFit="1" customWidth="1"/>
    <col min="12" max="12" width="10.6640625" bestFit="1" customWidth="1"/>
    <col min="13" max="13" width="12.109375" bestFit="1" customWidth="1"/>
    <col min="14" max="14" width="15.44140625" customWidth="1"/>
    <col min="15" max="15" width="19.77734375" hidden="1" customWidth="1"/>
    <col min="16" max="16" width="0" hidden="1" customWidth="1"/>
    <col min="17" max="17" width="18.109375" hidden="1" customWidth="1"/>
    <col min="18" max="21" width="0" hidden="1" customWidth="1"/>
  </cols>
  <sheetData>
    <row r="1" spans="1:21">
      <c r="A1" s="70" t="s">
        <v>81</v>
      </c>
      <c r="B1" s="71" t="s">
        <v>61</v>
      </c>
      <c r="C1" s="70" t="s">
        <v>34</v>
      </c>
      <c r="D1" s="71" t="s">
        <v>47</v>
      </c>
      <c r="E1" s="71" t="s">
        <v>48</v>
      </c>
      <c r="F1" s="71" t="s">
        <v>49</v>
      </c>
      <c r="G1" s="71" t="s">
        <v>52</v>
      </c>
      <c r="H1" s="71" t="s">
        <v>53</v>
      </c>
      <c r="I1" s="71" t="s">
        <v>94</v>
      </c>
      <c r="J1" s="71" t="s">
        <v>107</v>
      </c>
      <c r="K1" s="71" t="s">
        <v>108</v>
      </c>
      <c r="L1" s="71" t="s">
        <v>90</v>
      </c>
      <c r="O1">
        <f>SUMIF(database!$A$2:$A$10,"J555",database!$G$1:$G$10)</f>
        <v>0</v>
      </c>
    </row>
    <row r="2" spans="1:21">
      <c r="A2" s="72" t="e">
        <f>#REF!</f>
        <v>#REF!</v>
      </c>
      <c r="B2" s="72" t="e">
        <f>#REF!</f>
        <v>#REF!</v>
      </c>
      <c r="C2" s="72" t="e">
        <f>#REF!</f>
        <v>#REF!</v>
      </c>
      <c r="D2" s="72" t="e">
        <f>#REF!</f>
        <v>#REF!</v>
      </c>
      <c r="E2" s="72" t="e">
        <f>#REF!</f>
        <v>#REF!</v>
      </c>
      <c r="F2" s="72" t="e">
        <f>#REF!</f>
        <v>#REF!</v>
      </c>
      <c r="G2" s="72" t="e">
        <f>#REF!</f>
        <v>#REF!</v>
      </c>
      <c r="H2" s="72" t="e">
        <f t="shared" ref="H2:H7" si="0">G2-L2</f>
        <v>#REF!</v>
      </c>
      <c r="I2" s="72" t="e">
        <f t="shared" ref="I2:I7" si="1">H2+J2</f>
        <v>#REF!</v>
      </c>
      <c r="J2" s="72" t="e">
        <f>SUM(#REF!)</f>
        <v>#REF!</v>
      </c>
      <c r="K2" s="72" t="e">
        <f>SUM(#REF!)</f>
        <v>#REF!</v>
      </c>
      <c r="L2" s="72" t="e">
        <f t="shared" ref="L2:L7" si="2">J2+K2</f>
        <v>#REF!</v>
      </c>
      <c r="M2" t="s">
        <v>101</v>
      </c>
    </row>
    <row r="3" spans="1:21">
      <c r="A3" s="72" t="s">
        <v>89</v>
      </c>
      <c r="B3" s="72" t="s">
        <v>59</v>
      </c>
      <c r="C3" s="72" t="s">
        <v>96</v>
      </c>
      <c r="D3" s="72" t="s">
        <v>70</v>
      </c>
      <c r="E3" s="72">
        <v>3506</v>
      </c>
      <c r="F3" s="72" t="s">
        <v>50</v>
      </c>
      <c r="G3" s="72">
        <v>620</v>
      </c>
      <c r="H3" s="72">
        <f t="shared" si="0"/>
        <v>580</v>
      </c>
      <c r="I3" s="72">
        <f t="shared" si="1"/>
        <v>590</v>
      </c>
      <c r="J3" s="72">
        <v>10</v>
      </c>
      <c r="K3" s="72">
        <v>30</v>
      </c>
      <c r="L3" s="72">
        <f t="shared" si="2"/>
        <v>40</v>
      </c>
      <c r="P3" s="62" t="s">
        <v>88</v>
      </c>
    </row>
    <row r="4" spans="1:21">
      <c r="A4" s="72" t="s">
        <v>89</v>
      </c>
      <c r="B4" s="72" t="s">
        <v>59</v>
      </c>
      <c r="C4" s="72" t="s">
        <v>97</v>
      </c>
      <c r="D4" s="72" t="s">
        <v>70</v>
      </c>
      <c r="E4" s="72">
        <v>3506</v>
      </c>
      <c r="F4" s="72" t="s">
        <v>50</v>
      </c>
      <c r="G4" s="72">
        <v>600</v>
      </c>
      <c r="H4" s="72">
        <f t="shared" si="0"/>
        <v>550</v>
      </c>
      <c r="I4" s="72">
        <f t="shared" si="1"/>
        <v>570</v>
      </c>
      <c r="J4" s="72">
        <v>20</v>
      </c>
      <c r="K4" s="72">
        <v>30</v>
      </c>
      <c r="L4" s="72">
        <f t="shared" si="2"/>
        <v>50</v>
      </c>
      <c r="Q4" t="s">
        <v>56</v>
      </c>
      <c r="R4">
        <v>700</v>
      </c>
    </row>
    <row r="5" spans="1:21">
      <c r="A5" s="72" t="s">
        <v>89</v>
      </c>
      <c r="B5" s="72" t="s">
        <v>59</v>
      </c>
      <c r="C5" s="72" t="s">
        <v>98</v>
      </c>
      <c r="D5" s="72" t="s">
        <v>70</v>
      </c>
      <c r="E5" s="72">
        <v>3506</v>
      </c>
      <c r="F5" s="72" t="s">
        <v>50</v>
      </c>
      <c r="G5" s="72">
        <v>610</v>
      </c>
      <c r="H5" s="72">
        <f t="shared" si="0"/>
        <v>585</v>
      </c>
      <c r="I5" s="72">
        <f t="shared" si="1"/>
        <v>605</v>
      </c>
      <c r="J5" s="72">
        <v>20</v>
      </c>
      <c r="K5" s="72">
        <v>5</v>
      </c>
      <c r="L5" s="72">
        <f t="shared" si="2"/>
        <v>25</v>
      </c>
      <c r="Q5" t="s">
        <v>82</v>
      </c>
      <c r="R5">
        <v>500</v>
      </c>
    </row>
    <row r="6" spans="1:21">
      <c r="A6" s="72" t="s">
        <v>89</v>
      </c>
      <c r="B6" s="72" t="s">
        <v>59</v>
      </c>
      <c r="C6" s="72" t="s">
        <v>103</v>
      </c>
      <c r="D6" s="72" t="s">
        <v>105</v>
      </c>
      <c r="E6" s="72">
        <v>3506</v>
      </c>
      <c r="F6" s="72" t="s">
        <v>50</v>
      </c>
      <c r="G6" s="72">
        <v>1225</v>
      </c>
      <c r="H6" s="72">
        <f t="shared" si="0"/>
        <v>1200</v>
      </c>
      <c r="I6" s="72">
        <f t="shared" si="1"/>
        <v>1210</v>
      </c>
      <c r="J6" s="72">
        <v>10</v>
      </c>
      <c r="K6" s="72">
        <v>15</v>
      </c>
      <c r="L6" s="72">
        <f t="shared" si="2"/>
        <v>25</v>
      </c>
      <c r="Q6" t="s">
        <v>83</v>
      </c>
      <c r="R6">
        <v>150</v>
      </c>
    </row>
    <row r="7" spans="1:21">
      <c r="A7" s="72" t="s">
        <v>89</v>
      </c>
      <c r="B7" s="72" t="s">
        <v>59</v>
      </c>
      <c r="C7" s="72" t="s">
        <v>104</v>
      </c>
      <c r="D7" s="72" t="s">
        <v>105</v>
      </c>
      <c r="E7" s="72">
        <v>3506</v>
      </c>
      <c r="F7" s="72" t="s">
        <v>50</v>
      </c>
      <c r="G7" s="72">
        <v>1225</v>
      </c>
      <c r="H7" s="72">
        <f t="shared" si="0"/>
        <v>1215</v>
      </c>
      <c r="I7" s="72">
        <f t="shared" si="1"/>
        <v>1220</v>
      </c>
      <c r="J7" s="72">
        <v>5</v>
      </c>
      <c r="K7" s="72">
        <v>5</v>
      </c>
      <c r="L7" s="72">
        <f t="shared" si="2"/>
        <v>10</v>
      </c>
      <c r="M7" t="s">
        <v>67</v>
      </c>
      <c r="Q7" t="s">
        <v>84</v>
      </c>
      <c r="R7">
        <v>50</v>
      </c>
    </row>
    <row r="9" spans="1:21" ht="28.8">
      <c r="O9" s="68" t="s">
        <v>95</v>
      </c>
      <c r="Q9" t="s">
        <v>52</v>
      </c>
      <c r="R9" t="s">
        <v>53</v>
      </c>
      <c r="S9" t="s">
        <v>87</v>
      </c>
      <c r="T9" t="s">
        <v>85</v>
      </c>
      <c r="U9" t="s">
        <v>86</v>
      </c>
    </row>
    <row r="10" spans="1:21">
      <c r="A10" s="77" t="s">
        <v>81</v>
      </c>
      <c r="B10" s="76" t="s">
        <v>89</v>
      </c>
      <c r="C10" s="72"/>
      <c r="D10" s="74" t="s">
        <v>61</v>
      </c>
      <c r="E10" s="76" t="s">
        <v>59</v>
      </c>
      <c r="F10" s="72"/>
      <c r="G10" s="72"/>
      <c r="H10" s="72"/>
      <c r="I10" s="72"/>
      <c r="J10" s="72"/>
      <c r="K10" s="72"/>
      <c r="Q10">
        <f>R5+R6+R7</f>
        <v>700</v>
      </c>
      <c r="R10">
        <v>600</v>
      </c>
      <c r="S10">
        <f>Q10-R10-T10-U10</f>
        <v>55</v>
      </c>
      <c r="T10">
        <v>25</v>
      </c>
      <c r="U10">
        <v>20</v>
      </c>
    </row>
    <row r="11" spans="1:21" s="69" customFormat="1" ht="12">
      <c r="A11" s="73" t="s">
        <v>47</v>
      </c>
      <c r="B11" s="73" t="s">
        <v>48</v>
      </c>
      <c r="C11" s="73" t="s">
        <v>49</v>
      </c>
      <c r="D11" s="73" t="s">
        <v>52</v>
      </c>
      <c r="E11" s="73" t="s">
        <v>100</v>
      </c>
      <c r="F11" s="73" t="s">
        <v>99</v>
      </c>
      <c r="G11" s="73" t="s">
        <v>94</v>
      </c>
      <c r="H11" s="73" t="s">
        <v>102</v>
      </c>
      <c r="I11" s="73" t="s">
        <v>107</v>
      </c>
      <c r="J11" s="73" t="s">
        <v>108</v>
      </c>
      <c r="K11" s="73" t="s">
        <v>90</v>
      </c>
    </row>
    <row r="12" spans="1:21">
      <c r="A12" s="74" t="s">
        <v>70</v>
      </c>
      <c r="B12" s="74">
        <v>3506</v>
      </c>
      <c r="C12" s="74" t="s">
        <v>50</v>
      </c>
      <c r="D12" s="72" t="e">
        <f>SUM(G2:G5)</f>
        <v>#REF!</v>
      </c>
      <c r="E12" s="72" t="e">
        <f>SUM(H2:H5)</f>
        <v>#REF!</v>
      </c>
      <c r="F12" s="72">
        <v>2400</v>
      </c>
      <c r="G12" s="72" t="e">
        <f>SUM(I2:I5)</f>
        <v>#REF!</v>
      </c>
      <c r="H12" s="75" t="e">
        <f>IF(F12-G12&lt;=0,"",F12-G12)</f>
        <v>#REF!</v>
      </c>
      <c r="I12" s="72" t="e">
        <f>SUM(J2:J5)</f>
        <v>#REF!</v>
      </c>
      <c r="J12" s="72" t="e">
        <f>SUM(K2:K5)</f>
        <v>#REF!</v>
      </c>
      <c r="K12" s="72" t="e">
        <f>SUM(L2:L5)</f>
        <v>#REF!</v>
      </c>
    </row>
    <row r="13" spans="1:21">
      <c r="A13" s="72" t="s">
        <v>105</v>
      </c>
      <c r="B13" s="72">
        <v>3506</v>
      </c>
      <c r="C13" s="72" t="s">
        <v>50</v>
      </c>
      <c r="D13" s="72">
        <f>SUM(G6:G7)</f>
        <v>2450</v>
      </c>
      <c r="E13" s="72">
        <f>SUM(H6:H7)</f>
        <v>2415</v>
      </c>
      <c r="F13" s="72">
        <v>2400</v>
      </c>
      <c r="G13" s="72">
        <f>SUM(I6:I7)</f>
        <v>2430</v>
      </c>
      <c r="H13" s="72" t="str">
        <f>IF(F13-G13&lt;=0,"",F13-G13)</f>
        <v/>
      </c>
      <c r="I13" s="72">
        <f>SUM(J6:J7)</f>
        <v>15</v>
      </c>
      <c r="J13" s="72">
        <f>SUM(K6:K7)</f>
        <v>20</v>
      </c>
      <c r="K13" s="72">
        <f>SUM(L6:L7)</f>
        <v>35</v>
      </c>
    </row>
  </sheetData>
  <phoneticPr fontId="14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FA6C-DDCC-42AA-A223-D649DAB0487B}">
  <dimension ref="A1:E61"/>
  <sheetViews>
    <sheetView workbookViewId="0">
      <selection activeCell="E8" sqref="E8"/>
    </sheetView>
  </sheetViews>
  <sheetFormatPr defaultColWidth="8.77734375" defaultRowHeight="19.95" customHeight="1"/>
  <cols>
    <col min="1" max="1" width="8.44140625" style="55" customWidth="1"/>
    <col min="2" max="2" width="57.44140625" style="55" customWidth="1"/>
    <col min="3" max="3" width="12" style="78" customWidth="1"/>
    <col min="4" max="4" width="52" style="55" customWidth="1"/>
    <col min="5" max="5" width="97.5546875" style="55" customWidth="1"/>
    <col min="6" max="16384" width="8.77734375" style="55"/>
  </cols>
  <sheetData>
    <row r="1" spans="1:5" ht="19.95" customHeight="1">
      <c r="A1" s="85" t="s">
        <v>126</v>
      </c>
      <c r="B1" s="84"/>
    </row>
    <row r="2" spans="1:5" s="82" customFormat="1" ht="19.95" customHeight="1">
      <c r="A2" s="109" t="s">
        <v>217</v>
      </c>
      <c r="B2" s="88"/>
      <c r="C2" s="83"/>
    </row>
    <row r="3" spans="1:5" ht="19.95" customHeight="1">
      <c r="A3" s="110" t="s">
        <v>216</v>
      </c>
      <c r="B3" s="88"/>
    </row>
    <row r="4" spans="1:5" ht="19.95" customHeight="1">
      <c r="A4" s="110" t="s">
        <v>215</v>
      </c>
      <c r="B4" s="88"/>
    </row>
    <row r="5" spans="1:5" ht="19.95" customHeight="1">
      <c r="A5" s="110" t="s">
        <v>214</v>
      </c>
      <c r="B5" s="88"/>
    </row>
    <row r="6" spans="1:5" ht="19.95" customHeight="1">
      <c r="A6" s="110" t="s">
        <v>213</v>
      </c>
      <c r="B6" s="88"/>
    </row>
    <row r="8" spans="1:5" ht="19.95" customHeight="1">
      <c r="A8" s="86"/>
      <c r="B8" s="86" t="s">
        <v>109</v>
      </c>
      <c r="C8" s="87"/>
      <c r="D8" s="86" t="s">
        <v>111</v>
      </c>
      <c r="E8" s="86" t="s">
        <v>110</v>
      </c>
    </row>
    <row r="9" spans="1:5" ht="19.95" customHeight="1">
      <c r="A9" s="79">
        <v>1</v>
      </c>
      <c r="B9" s="79" t="s">
        <v>146</v>
      </c>
      <c r="C9" s="105" t="s">
        <v>112</v>
      </c>
      <c r="D9" s="106" t="s">
        <v>147</v>
      </c>
      <c r="E9" s="107" t="s">
        <v>148</v>
      </c>
    </row>
    <row r="10" spans="1:5" ht="19.95" customHeight="1">
      <c r="A10" s="80"/>
      <c r="B10" s="80"/>
      <c r="C10" s="105" t="s">
        <v>113</v>
      </c>
      <c r="D10" s="106" t="s">
        <v>139</v>
      </c>
      <c r="E10" s="107" t="s">
        <v>149</v>
      </c>
    </row>
    <row r="11" spans="1:5" ht="19.95" customHeight="1">
      <c r="A11" s="80"/>
      <c r="B11" s="80"/>
      <c r="C11" s="105" t="s">
        <v>114</v>
      </c>
      <c r="D11" s="106" t="s">
        <v>150</v>
      </c>
      <c r="E11" s="107" t="s">
        <v>140</v>
      </c>
    </row>
    <row r="12" spans="1:5" ht="19.95" customHeight="1">
      <c r="A12" s="80"/>
      <c r="B12" s="80"/>
      <c r="C12" s="105" t="s">
        <v>115</v>
      </c>
      <c r="D12" s="106" t="s">
        <v>151</v>
      </c>
      <c r="E12" s="107"/>
    </row>
    <row r="13" spans="1:5" ht="19.95" customHeight="1">
      <c r="A13" s="80"/>
      <c r="B13" s="80"/>
      <c r="C13" s="105" t="s">
        <v>116</v>
      </c>
      <c r="D13" s="106" t="s">
        <v>141</v>
      </c>
      <c r="E13" s="107"/>
    </row>
    <row r="14" spans="1:5" ht="19.95" customHeight="1">
      <c r="A14" s="80"/>
      <c r="B14" s="80"/>
      <c r="C14" s="105" t="s">
        <v>117</v>
      </c>
      <c r="D14" s="106" t="s">
        <v>152</v>
      </c>
      <c r="E14" s="107"/>
    </row>
    <row r="15" spans="1:5" ht="28.8" customHeight="1">
      <c r="A15" s="80"/>
      <c r="B15" s="80"/>
      <c r="C15" s="105" t="s">
        <v>118</v>
      </c>
      <c r="D15" s="106" t="s">
        <v>142</v>
      </c>
      <c r="E15" s="108" t="s">
        <v>157</v>
      </c>
    </row>
    <row r="16" spans="1:5" ht="29.4" customHeight="1">
      <c r="A16" s="80"/>
      <c r="B16" s="80"/>
      <c r="C16" s="105" t="s">
        <v>119</v>
      </c>
      <c r="D16" s="104" t="s">
        <v>153</v>
      </c>
      <c r="E16" s="107" t="s">
        <v>143</v>
      </c>
    </row>
    <row r="17" spans="1:5" ht="19.95" customHeight="1">
      <c r="A17" s="80"/>
      <c r="B17" s="80"/>
      <c r="C17" s="105" t="s">
        <v>120</v>
      </c>
      <c r="D17" s="106" t="s">
        <v>144</v>
      </c>
      <c r="E17" s="107"/>
    </row>
    <row r="18" spans="1:5" ht="19.95" customHeight="1">
      <c r="A18" s="80"/>
      <c r="B18" s="80"/>
      <c r="C18" s="105" t="s">
        <v>121</v>
      </c>
      <c r="D18" s="106" t="s">
        <v>154</v>
      </c>
      <c r="E18" s="107" t="s">
        <v>158</v>
      </c>
    </row>
    <row r="19" spans="1:5" ht="28.2" customHeight="1">
      <c r="A19" s="80"/>
      <c r="B19" s="80"/>
      <c r="C19" s="105" t="s">
        <v>122</v>
      </c>
      <c r="D19" s="104" t="s">
        <v>155</v>
      </c>
      <c r="E19" s="107" t="s">
        <v>159</v>
      </c>
    </row>
    <row r="20" spans="1:5" ht="220.2" customHeight="1">
      <c r="A20" s="80"/>
      <c r="B20" s="80"/>
      <c r="C20" s="105" t="s">
        <v>123</v>
      </c>
      <c r="D20" s="104" t="s">
        <v>161</v>
      </c>
      <c r="E20" s="108" t="s">
        <v>162</v>
      </c>
    </row>
    <row r="21" spans="1:5" ht="28.2" customHeight="1">
      <c r="A21" s="80"/>
      <c r="B21" s="80"/>
      <c r="C21" s="105" t="s">
        <v>124</v>
      </c>
      <c r="D21" s="104" t="s">
        <v>156</v>
      </c>
      <c r="E21" s="107"/>
    </row>
    <row r="22" spans="1:5" ht="19.8" customHeight="1">
      <c r="A22" s="81"/>
      <c r="B22" s="81"/>
      <c r="C22" s="105" t="s">
        <v>160</v>
      </c>
      <c r="D22" s="106" t="s">
        <v>145</v>
      </c>
      <c r="E22" s="107"/>
    </row>
    <row r="23" spans="1:5" ht="37.200000000000003" customHeight="1">
      <c r="A23" s="102"/>
      <c r="B23" s="102"/>
      <c r="D23" s="90"/>
      <c r="E23" s="93"/>
    </row>
    <row r="24" spans="1:5" ht="19.95" customHeight="1">
      <c r="A24" s="102"/>
      <c r="B24" s="102"/>
      <c r="E24" s="93"/>
    </row>
    <row r="25" spans="1:5" ht="19.95" customHeight="1">
      <c r="A25" s="102"/>
      <c r="B25" s="102"/>
      <c r="E25" s="93"/>
    </row>
    <row r="26" spans="1:5" ht="19.95" customHeight="1">
      <c r="A26" s="102"/>
      <c r="B26" s="102"/>
      <c r="E26" s="93"/>
    </row>
    <row r="27" spans="1:5" ht="19.95" customHeight="1">
      <c r="A27" s="102"/>
      <c r="B27" s="102"/>
      <c r="E27" s="93"/>
    </row>
    <row r="28" spans="1:5" ht="19.95" customHeight="1">
      <c r="A28" s="102"/>
      <c r="B28" s="102"/>
      <c r="E28" s="93"/>
    </row>
    <row r="29" spans="1:5" ht="19.95" customHeight="1">
      <c r="A29" s="102"/>
      <c r="B29" s="102"/>
      <c r="E29" s="93"/>
    </row>
    <row r="30" spans="1:5" ht="19.95" customHeight="1">
      <c r="A30" s="102"/>
      <c r="B30" s="102"/>
      <c r="E30" s="93"/>
    </row>
    <row r="31" spans="1:5" ht="19.95" customHeight="1">
      <c r="A31" s="102"/>
      <c r="B31" s="102"/>
      <c r="E31" s="93"/>
    </row>
    <row r="32" spans="1:5" ht="19.95" customHeight="1">
      <c r="A32" s="102"/>
      <c r="B32" s="102"/>
      <c r="E32" s="93"/>
    </row>
    <row r="33" spans="1:5" ht="19.95" customHeight="1">
      <c r="A33" s="102"/>
      <c r="B33" s="102"/>
      <c r="E33" s="93"/>
    </row>
    <row r="34" spans="1:5" ht="19.95" customHeight="1">
      <c r="A34" s="102"/>
      <c r="B34" s="102"/>
      <c r="E34" s="93"/>
    </row>
    <row r="35" spans="1:5" ht="19.95" customHeight="1">
      <c r="A35" s="102"/>
      <c r="B35" s="102"/>
      <c r="E35" s="93"/>
    </row>
    <row r="36" spans="1:5" ht="19.95" customHeight="1">
      <c r="A36" s="102"/>
      <c r="B36" s="102"/>
      <c r="E36" s="93"/>
    </row>
    <row r="37" spans="1:5" ht="19.95" customHeight="1">
      <c r="A37" s="102"/>
      <c r="B37" s="102"/>
      <c r="E37" s="93"/>
    </row>
    <row r="38" spans="1:5" ht="19.95" customHeight="1">
      <c r="A38" s="102"/>
      <c r="B38" s="102"/>
      <c r="E38" s="93"/>
    </row>
    <row r="39" spans="1:5" ht="19.95" customHeight="1">
      <c r="A39" s="102"/>
      <c r="B39" s="102"/>
      <c r="E39" s="93"/>
    </row>
    <row r="40" spans="1:5" ht="19.95" customHeight="1">
      <c r="A40" s="102"/>
      <c r="B40" s="102"/>
      <c r="E40" s="93"/>
    </row>
    <row r="41" spans="1:5" ht="19.95" customHeight="1">
      <c r="A41" s="102"/>
      <c r="B41" s="102"/>
      <c r="E41" s="93"/>
    </row>
    <row r="42" spans="1:5" ht="19.95" customHeight="1">
      <c r="A42" s="102"/>
      <c r="B42" s="102"/>
      <c r="E42" s="93"/>
    </row>
    <row r="43" spans="1:5" ht="19.95" customHeight="1">
      <c r="A43" s="102"/>
      <c r="B43" s="102"/>
      <c r="E43" s="93"/>
    </row>
    <row r="44" spans="1:5" ht="19.95" customHeight="1">
      <c r="A44" s="102"/>
      <c r="B44" s="102"/>
      <c r="E44" s="93"/>
    </row>
    <row r="45" spans="1:5" ht="19.95" customHeight="1">
      <c r="A45" s="102"/>
      <c r="B45" s="102"/>
      <c r="E45" s="93"/>
    </row>
    <row r="46" spans="1:5" ht="19.95" customHeight="1">
      <c r="A46" s="102"/>
      <c r="B46" s="102"/>
      <c r="E46" s="93"/>
    </row>
    <row r="47" spans="1:5" ht="19.95" customHeight="1">
      <c r="A47" s="102"/>
      <c r="B47" s="102"/>
      <c r="E47" s="93"/>
    </row>
    <row r="48" spans="1:5" ht="19.95" customHeight="1">
      <c r="A48" s="102"/>
      <c r="B48" s="103"/>
      <c r="E48" s="93"/>
    </row>
    <row r="49" spans="1:5" ht="19.95" customHeight="1">
      <c r="A49" s="102"/>
      <c r="B49" s="103"/>
      <c r="E49" s="93"/>
    </row>
    <row r="50" spans="1:5" ht="19.95" customHeight="1">
      <c r="A50" s="102"/>
      <c r="B50" s="102"/>
      <c r="E50" s="93"/>
    </row>
    <row r="51" spans="1:5" ht="19.95" customHeight="1">
      <c r="A51" s="102"/>
      <c r="B51" s="102"/>
      <c r="E51" s="93"/>
    </row>
    <row r="52" spans="1:5" ht="19.95" customHeight="1">
      <c r="A52" s="102"/>
      <c r="B52" s="102"/>
      <c r="E52" s="93"/>
    </row>
    <row r="53" spans="1:5" ht="19.95" customHeight="1">
      <c r="A53" s="102"/>
      <c r="B53" s="102"/>
      <c r="E53" s="93"/>
    </row>
    <row r="54" spans="1:5" ht="19.95" customHeight="1">
      <c r="A54" s="102"/>
      <c r="B54" s="102"/>
      <c r="E54" s="93"/>
    </row>
    <row r="55" spans="1:5" ht="19.95" customHeight="1">
      <c r="A55" s="102"/>
      <c r="B55" s="102"/>
      <c r="E55" s="93"/>
    </row>
    <row r="56" spans="1:5" ht="19.95" customHeight="1">
      <c r="A56" s="102"/>
      <c r="B56" s="102"/>
      <c r="E56" s="93"/>
    </row>
    <row r="57" spans="1:5" ht="19.95" customHeight="1">
      <c r="A57" s="102"/>
      <c r="B57" s="102"/>
      <c r="E57" s="93"/>
    </row>
    <row r="58" spans="1:5" ht="19.95" customHeight="1">
      <c r="A58" s="102"/>
      <c r="B58" s="102"/>
      <c r="E58" s="93"/>
    </row>
    <row r="59" spans="1:5" ht="19.95" customHeight="1">
      <c r="E59" s="93"/>
    </row>
    <row r="60" spans="1:5" ht="19.95" customHeight="1">
      <c r="E60" s="93"/>
    </row>
    <row r="61" spans="1:5" ht="19.95" customHeight="1">
      <c r="E61" s="93"/>
    </row>
  </sheetData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F3F3-901A-46AE-AD76-C26485927B43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36D9-2075-41AC-B1C5-2FE9C4B7122E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EFF2-0882-492F-A925-F8FC2418555C}">
  <dimension ref="A1:H73"/>
  <sheetViews>
    <sheetView workbookViewId="0">
      <selection activeCell="F16" sqref="F16"/>
    </sheetView>
  </sheetViews>
  <sheetFormatPr defaultColWidth="8.77734375" defaultRowHeight="19.95" customHeight="1"/>
  <cols>
    <col min="1" max="1" width="6" style="55" customWidth="1"/>
    <col min="2" max="2" width="24.44140625" style="55" customWidth="1"/>
    <col min="3" max="3" width="19.6640625" style="55" customWidth="1"/>
    <col min="4" max="4" width="30.88671875" style="55" customWidth="1"/>
    <col min="5" max="5" width="13.44140625" style="91" customWidth="1"/>
    <col min="6" max="6" width="73.77734375" style="55" customWidth="1"/>
    <col min="7" max="7" width="40.109375" style="93" customWidth="1"/>
    <col min="8" max="16384" width="8.77734375" style="55"/>
  </cols>
  <sheetData>
    <row r="1" spans="1:7" ht="19.95" customHeight="1">
      <c r="A1" s="111" t="s">
        <v>125</v>
      </c>
      <c r="B1" s="111" t="s">
        <v>129</v>
      </c>
      <c r="C1" s="111" t="s">
        <v>130</v>
      </c>
      <c r="D1" s="111" t="s">
        <v>131</v>
      </c>
      <c r="E1" s="112" t="s">
        <v>134</v>
      </c>
      <c r="F1" s="111" t="s">
        <v>132</v>
      </c>
      <c r="G1" s="113" t="s">
        <v>110</v>
      </c>
    </row>
    <row r="2" spans="1:7" ht="19.95" customHeight="1">
      <c r="A2" s="55">
        <v>1</v>
      </c>
      <c r="B2" s="54" t="s">
        <v>163</v>
      </c>
      <c r="C2" s="55" t="s">
        <v>164</v>
      </c>
      <c r="D2" s="55" t="s">
        <v>165</v>
      </c>
      <c r="E2" s="91">
        <v>0</v>
      </c>
      <c r="F2" s="55" t="s">
        <v>166</v>
      </c>
      <c r="G2" s="93" t="s">
        <v>167</v>
      </c>
    </row>
    <row r="3" spans="1:7" ht="19.95" customHeight="1">
      <c r="C3" s="55" t="s">
        <v>168</v>
      </c>
      <c r="D3" s="55" t="s">
        <v>165</v>
      </c>
      <c r="E3" s="91">
        <v>0</v>
      </c>
      <c r="F3" s="55" t="s">
        <v>169</v>
      </c>
      <c r="G3" s="93" t="s">
        <v>170</v>
      </c>
    </row>
    <row r="5" spans="1:7" ht="19.95" customHeight="1">
      <c r="A5" s="55">
        <v>2</v>
      </c>
      <c r="B5" s="55" t="s">
        <v>171</v>
      </c>
      <c r="C5" s="55" t="s">
        <v>172</v>
      </c>
      <c r="D5" s="55" t="s">
        <v>165</v>
      </c>
      <c r="E5" s="91">
        <v>0</v>
      </c>
      <c r="F5" s="55" t="s">
        <v>173</v>
      </c>
      <c r="G5" s="93" t="s">
        <v>174</v>
      </c>
    </row>
    <row r="7" spans="1:7" ht="19.95" customHeight="1">
      <c r="A7" s="55">
        <v>3</v>
      </c>
      <c r="B7" s="55" t="s">
        <v>175</v>
      </c>
      <c r="C7" s="55" t="s">
        <v>176</v>
      </c>
      <c r="D7" s="55" t="s">
        <v>177</v>
      </c>
      <c r="E7" s="91" t="s">
        <v>178</v>
      </c>
    </row>
    <row r="8" spans="1:7" ht="19.95" customHeight="1">
      <c r="C8" s="55" t="s">
        <v>179</v>
      </c>
      <c r="D8" s="55" t="s">
        <v>184</v>
      </c>
      <c r="E8" s="91">
        <v>0</v>
      </c>
    </row>
    <row r="9" spans="1:7" ht="19.95" customHeight="1">
      <c r="C9" s="55" t="s">
        <v>180</v>
      </c>
      <c r="D9" s="55" t="s">
        <v>184</v>
      </c>
      <c r="E9" s="91">
        <v>0</v>
      </c>
    </row>
    <row r="10" spans="1:7" ht="19.95" customHeight="1">
      <c r="C10" s="55" t="s">
        <v>181</v>
      </c>
      <c r="D10" s="55" t="s">
        <v>184</v>
      </c>
      <c r="E10" s="91">
        <v>0</v>
      </c>
    </row>
    <row r="11" spans="1:7" ht="19.95" customHeight="1">
      <c r="C11" s="55" t="s">
        <v>182</v>
      </c>
      <c r="D11" s="55" t="s">
        <v>184</v>
      </c>
      <c r="E11" s="91">
        <v>0</v>
      </c>
      <c r="F11" s="55" t="s">
        <v>187</v>
      </c>
    </row>
    <row r="12" spans="1:7" ht="19.95" customHeight="1">
      <c r="C12" s="55" t="s">
        <v>133</v>
      </c>
      <c r="D12" s="55" t="s">
        <v>185</v>
      </c>
      <c r="F12" s="55" t="s">
        <v>186</v>
      </c>
    </row>
    <row r="14" spans="1:7" ht="19.95" customHeight="1">
      <c r="A14" s="55">
        <v>4</v>
      </c>
      <c r="B14" s="55" t="s">
        <v>188</v>
      </c>
      <c r="C14" s="55" t="s">
        <v>176</v>
      </c>
      <c r="D14" s="55" t="s">
        <v>177</v>
      </c>
      <c r="E14" s="91" t="s">
        <v>178</v>
      </c>
    </row>
    <row r="15" spans="1:7" ht="19.95" customHeight="1">
      <c r="C15" s="55" t="s">
        <v>133</v>
      </c>
      <c r="D15" s="55" t="s">
        <v>185</v>
      </c>
      <c r="F15" s="55" t="s">
        <v>186</v>
      </c>
    </row>
    <row r="16" spans="1:7" ht="19.95" customHeight="1">
      <c r="C16" s="55" t="s">
        <v>183</v>
      </c>
      <c r="D16" s="55" t="s">
        <v>185</v>
      </c>
    </row>
    <row r="17" spans="1:8" ht="19.95" customHeight="1">
      <c r="C17" s="55" t="s">
        <v>189</v>
      </c>
      <c r="D17" s="55" t="s">
        <v>196</v>
      </c>
      <c r="F17" s="55" t="s">
        <v>198</v>
      </c>
    </row>
    <row r="18" spans="1:8" ht="19.95" customHeight="1">
      <c r="C18" s="55" t="s">
        <v>190</v>
      </c>
      <c r="D18" s="55" t="s">
        <v>196</v>
      </c>
      <c r="F18" s="55" t="s">
        <v>199</v>
      </c>
    </row>
    <row r="19" spans="1:8" ht="19.95" customHeight="1">
      <c r="C19" s="55" t="s">
        <v>191</v>
      </c>
      <c r="D19" s="55" t="s">
        <v>196</v>
      </c>
      <c r="F19" s="55" t="s">
        <v>200</v>
      </c>
    </row>
    <row r="20" spans="1:8" ht="19.95" customHeight="1">
      <c r="C20" s="55" t="s">
        <v>192</v>
      </c>
      <c r="D20" s="55" t="s">
        <v>196</v>
      </c>
      <c r="F20" s="55" t="s">
        <v>201</v>
      </c>
    </row>
    <row r="21" spans="1:8" ht="19.95" customHeight="1">
      <c r="C21" s="55" t="s">
        <v>193</v>
      </c>
      <c r="D21" s="55" t="s">
        <v>196</v>
      </c>
      <c r="F21" s="55" t="s">
        <v>203</v>
      </c>
      <c r="H21" s="90"/>
    </row>
    <row r="22" spans="1:8" ht="19.95" customHeight="1">
      <c r="C22" s="55" t="s">
        <v>194</v>
      </c>
      <c r="D22" s="55" t="s">
        <v>196</v>
      </c>
      <c r="F22" s="55" t="s">
        <v>202</v>
      </c>
      <c r="H22" s="90"/>
    </row>
    <row r="23" spans="1:8" ht="19.95" customHeight="1">
      <c r="C23" s="55" t="s">
        <v>182</v>
      </c>
      <c r="D23" s="55" t="s">
        <v>184</v>
      </c>
      <c r="E23" s="91">
        <v>0</v>
      </c>
      <c r="F23" s="55" t="s">
        <v>187</v>
      </c>
    </row>
    <row r="24" spans="1:8" ht="19.95" customHeight="1">
      <c r="C24" s="55" t="s">
        <v>195</v>
      </c>
      <c r="D24" s="55" t="s">
        <v>197</v>
      </c>
      <c r="F24" s="55" t="s">
        <v>127</v>
      </c>
    </row>
    <row r="25" spans="1:8" ht="19.95" customHeight="1">
      <c r="G25" s="94"/>
    </row>
    <row r="26" spans="1:8" ht="19.95" customHeight="1">
      <c r="A26" s="55">
        <v>5</v>
      </c>
      <c r="B26" s="55" t="s">
        <v>204</v>
      </c>
      <c r="C26" s="55" t="s">
        <v>176</v>
      </c>
      <c r="D26" s="55" t="s">
        <v>177</v>
      </c>
      <c r="E26" s="91" t="s">
        <v>178</v>
      </c>
    </row>
    <row r="27" spans="1:8" ht="19.95" customHeight="1">
      <c r="C27" s="55" t="s">
        <v>183</v>
      </c>
      <c r="D27" s="55" t="s">
        <v>205</v>
      </c>
      <c r="F27" s="55" t="s">
        <v>211</v>
      </c>
      <c r="G27" s="93" t="s">
        <v>212</v>
      </c>
    </row>
    <row r="28" spans="1:8" ht="19.95" customHeight="1">
      <c r="C28" s="55" t="s">
        <v>206</v>
      </c>
      <c r="D28" s="55" t="s">
        <v>205</v>
      </c>
      <c r="F28" s="55" t="s">
        <v>210</v>
      </c>
    </row>
    <row r="29" spans="1:8" ht="19.95" customHeight="1">
      <c r="C29" s="55" t="s">
        <v>207</v>
      </c>
      <c r="D29" s="55" t="s">
        <v>184</v>
      </c>
      <c r="F29" s="55" t="s">
        <v>209</v>
      </c>
    </row>
    <row r="30" spans="1:8" ht="19.95" customHeight="1">
      <c r="C30" s="55" t="s">
        <v>133</v>
      </c>
      <c r="D30" s="55" t="s">
        <v>185</v>
      </c>
      <c r="F30" s="55" t="s">
        <v>186</v>
      </c>
    </row>
    <row r="31" spans="1:8" ht="19.95" customHeight="1">
      <c r="C31" s="55" t="s">
        <v>195</v>
      </c>
      <c r="D31" s="55" t="s">
        <v>208</v>
      </c>
    </row>
    <row r="35" spans="2:2" ht="19.95" customHeight="1">
      <c r="B35" s="54"/>
    </row>
    <row r="42" spans="2:2" ht="19.95" customHeight="1">
      <c r="B42" s="54"/>
    </row>
    <row r="47" spans="2:2" ht="19.95" customHeight="1">
      <c r="B47" s="54"/>
    </row>
    <row r="48" spans="2:2" ht="19.95" customHeight="1">
      <c r="B48" s="54"/>
    </row>
    <row r="52" spans="2:2" ht="19.95" customHeight="1">
      <c r="B52" s="54"/>
    </row>
    <row r="53" spans="2:2" ht="19.95" customHeight="1">
      <c r="B53" s="54"/>
    </row>
    <row r="57" spans="2:2" ht="19.95" customHeight="1">
      <c r="B57" s="54"/>
    </row>
    <row r="64" spans="2:2" ht="19.95" customHeight="1">
      <c r="B64" s="54"/>
    </row>
    <row r="73" spans="2:2" ht="19.95" customHeight="1">
      <c r="B73" s="54"/>
    </row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8D28-E11E-4B49-B9FB-64289EBFF1B7}">
  <dimension ref="A1:G32"/>
  <sheetViews>
    <sheetView workbookViewId="0">
      <selection activeCell="F25" sqref="F25"/>
    </sheetView>
  </sheetViews>
  <sheetFormatPr defaultColWidth="8.77734375" defaultRowHeight="19.95" customHeight="1"/>
  <cols>
    <col min="1" max="1" width="6.109375" style="55" customWidth="1"/>
    <col min="2" max="2" width="19.109375" style="55" customWidth="1"/>
    <col min="3" max="3" width="19.44140625" style="55" customWidth="1"/>
    <col min="4" max="4" width="20.6640625" style="55" customWidth="1"/>
    <col min="5" max="5" width="16.109375" style="91" customWidth="1"/>
    <col min="6" max="6" width="64.77734375" style="55" customWidth="1"/>
    <col min="7" max="7" width="26.44140625" style="96" customWidth="1"/>
    <col min="8" max="16384" width="8.77734375" style="55"/>
  </cols>
  <sheetData>
    <row r="1" spans="1:7" ht="19.95" customHeight="1">
      <c r="A1" s="89" t="s">
        <v>125</v>
      </c>
      <c r="B1" s="89" t="s">
        <v>129</v>
      </c>
      <c r="C1" s="89" t="s">
        <v>130</v>
      </c>
      <c r="D1" s="89" t="s">
        <v>131</v>
      </c>
      <c r="E1" s="92" t="s">
        <v>134</v>
      </c>
      <c r="F1" s="89" t="s">
        <v>132</v>
      </c>
      <c r="G1" s="95" t="s">
        <v>110</v>
      </c>
    </row>
    <row r="2" spans="1:7" ht="19.95" customHeight="1">
      <c r="B2" s="54"/>
    </row>
    <row r="3" spans="1:7" ht="19.95" customHeight="1">
      <c r="B3" s="54"/>
    </row>
    <row r="4" spans="1:7" ht="19.95" customHeight="1">
      <c r="B4" s="54"/>
    </row>
    <row r="5" spans="1:7" ht="19.95" customHeight="1">
      <c r="B5" s="54"/>
    </row>
    <row r="6" spans="1:7" ht="19.95" customHeight="1">
      <c r="B6" s="54"/>
    </row>
    <row r="7" spans="1:7" ht="19.95" customHeight="1">
      <c r="B7" s="54"/>
    </row>
    <row r="8" spans="1:7" ht="19.95" customHeight="1">
      <c r="B8" s="54"/>
    </row>
    <row r="9" spans="1:7" ht="19.95" customHeight="1">
      <c r="B9" s="54"/>
    </row>
    <row r="10" spans="1:7" ht="19.95" customHeight="1">
      <c r="B10" s="54"/>
    </row>
    <row r="11" spans="1:7" ht="19.95" customHeight="1">
      <c r="B11" s="54"/>
    </row>
    <row r="12" spans="1:7" ht="19.95" customHeight="1">
      <c r="B12" s="54"/>
    </row>
    <row r="13" spans="1:7" ht="19.95" customHeight="1">
      <c r="B13" s="54"/>
    </row>
    <row r="14" spans="1:7" ht="19.95" customHeight="1">
      <c r="B14" s="54"/>
    </row>
    <row r="15" spans="1:7" ht="19.95" customHeight="1">
      <c r="B15" s="54"/>
    </row>
    <row r="16" spans="1:7" ht="19.95" customHeight="1">
      <c r="B16" s="54"/>
    </row>
    <row r="17" spans="2:7" ht="19.95" customHeight="1">
      <c r="B17" s="54"/>
      <c r="D17" s="91"/>
      <c r="E17" s="55"/>
      <c r="F17" s="96"/>
      <c r="G17" s="55"/>
    </row>
    <row r="18" spans="2:7" ht="19.95" customHeight="1">
      <c r="B18" s="54"/>
    </row>
    <row r="19" spans="2:7" ht="19.95" customHeight="1">
      <c r="B19" s="54"/>
    </row>
    <row r="20" spans="2:7" ht="19.95" customHeight="1">
      <c r="B20" s="54"/>
    </row>
    <row r="21" spans="2:7" ht="19.95" customHeight="1">
      <c r="B21" s="54"/>
    </row>
    <row r="22" spans="2:7" ht="19.95" customHeight="1">
      <c r="B22" s="54"/>
    </row>
    <row r="23" spans="2:7" ht="19.95" customHeight="1">
      <c r="B23" s="54"/>
    </row>
    <row r="24" spans="2:7" ht="19.95" customHeight="1">
      <c r="B24" s="54"/>
    </row>
    <row r="25" spans="2:7" ht="19.95" customHeight="1">
      <c r="B25" s="54"/>
    </row>
    <row r="26" spans="2:7" ht="19.95" customHeight="1">
      <c r="B26" s="54"/>
      <c r="E26" s="97"/>
    </row>
    <row r="27" spans="2:7" ht="19.95" customHeight="1">
      <c r="B27" s="54"/>
      <c r="E27" s="97"/>
    </row>
    <row r="28" spans="2:7" ht="19.95" customHeight="1">
      <c r="B28" s="54"/>
    </row>
    <row r="29" spans="2:7" ht="19.95" customHeight="1">
      <c r="B29" s="54"/>
    </row>
    <row r="32" spans="2:7" ht="19.95" customHeight="1">
      <c r="B32" s="54"/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D296E-4751-45D8-87D8-1D68CFB0972E}">
  <dimension ref="A1:F88"/>
  <sheetViews>
    <sheetView tabSelected="1" workbookViewId="0">
      <selection activeCell="F14" sqref="F14"/>
    </sheetView>
  </sheetViews>
  <sheetFormatPr defaultColWidth="8.77734375" defaultRowHeight="14.4"/>
  <cols>
    <col min="1" max="1" width="8.77734375" style="98"/>
    <col min="2" max="2" width="74.5546875" customWidth="1"/>
    <col min="3" max="3" width="14.6640625" customWidth="1"/>
    <col min="4" max="4" width="17" customWidth="1"/>
    <col min="5" max="5" width="19.44140625" customWidth="1"/>
    <col min="6" max="6" width="72.77734375" customWidth="1"/>
  </cols>
  <sheetData>
    <row r="1" spans="1:6">
      <c r="A1" s="101" t="s">
        <v>128</v>
      </c>
      <c r="B1" s="99" t="s">
        <v>138</v>
      </c>
      <c r="C1" s="99" t="s">
        <v>135</v>
      </c>
      <c r="D1" s="99" t="s">
        <v>136</v>
      </c>
      <c r="E1" s="100" t="s">
        <v>137</v>
      </c>
      <c r="F1" s="99" t="s">
        <v>127</v>
      </c>
    </row>
    <row r="2" spans="1:6">
      <c r="A2" s="98">
        <v>1</v>
      </c>
      <c r="B2" t="s">
        <v>218</v>
      </c>
      <c r="C2" s="37">
        <v>44806</v>
      </c>
      <c r="D2" s="37">
        <v>44806</v>
      </c>
      <c r="E2" t="s">
        <v>219</v>
      </c>
    </row>
    <row r="3" spans="1:6">
      <c r="A3" s="98">
        <v>2</v>
      </c>
      <c r="B3" t="s">
        <v>220</v>
      </c>
      <c r="C3" s="37">
        <v>44806</v>
      </c>
      <c r="D3" s="37">
        <v>44806</v>
      </c>
      <c r="E3" t="s">
        <v>219</v>
      </c>
      <c r="F3" t="s">
        <v>221</v>
      </c>
    </row>
    <row r="4" spans="1:6">
      <c r="A4" s="98">
        <v>3</v>
      </c>
      <c r="B4" t="s">
        <v>222</v>
      </c>
      <c r="C4" s="37">
        <v>44832</v>
      </c>
      <c r="D4" s="37">
        <v>44854</v>
      </c>
      <c r="E4" t="s">
        <v>219</v>
      </c>
    </row>
    <row r="5" spans="1:6">
      <c r="A5" s="98">
        <v>4</v>
      </c>
      <c r="B5" t="s">
        <v>223</v>
      </c>
      <c r="C5" s="37">
        <v>44832</v>
      </c>
      <c r="D5" s="37">
        <v>44854</v>
      </c>
      <c r="E5" t="s">
        <v>219</v>
      </c>
    </row>
    <row r="6" spans="1:6">
      <c r="A6" s="98">
        <v>5</v>
      </c>
      <c r="B6" t="s">
        <v>224</v>
      </c>
      <c r="C6" s="37">
        <v>44841</v>
      </c>
      <c r="D6" s="37">
        <v>44854</v>
      </c>
      <c r="E6" t="s">
        <v>219</v>
      </c>
    </row>
    <row r="7" spans="1:6">
      <c r="A7" s="98">
        <v>6</v>
      </c>
      <c r="B7" t="s">
        <v>225</v>
      </c>
      <c r="C7" s="37">
        <v>44858</v>
      </c>
      <c r="D7" s="37">
        <v>44858</v>
      </c>
      <c r="E7" t="s">
        <v>219</v>
      </c>
    </row>
    <row r="8" spans="1:6">
      <c r="A8" s="98">
        <v>7</v>
      </c>
      <c r="B8" t="s">
        <v>226</v>
      </c>
      <c r="C8" s="37">
        <v>44861</v>
      </c>
      <c r="D8" s="37">
        <v>44867</v>
      </c>
      <c r="E8" t="s">
        <v>219</v>
      </c>
      <c r="F8" t="s">
        <v>229</v>
      </c>
    </row>
    <row r="9" spans="1:6">
      <c r="A9" s="98">
        <v>8</v>
      </c>
      <c r="B9" t="s">
        <v>227</v>
      </c>
      <c r="C9" s="37">
        <v>44867</v>
      </c>
      <c r="D9" s="37">
        <v>44867</v>
      </c>
      <c r="E9" t="s">
        <v>219</v>
      </c>
    </row>
    <row r="10" spans="1:6">
      <c r="A10" s="98">
        <v>9</v>
      </c>
      <c r="B10" t="s">
        <v>228</v>
      </c>
      <c r="C10" s="37">
        <v>44861</v>
      </c>
      <c r="D10" s="37">
        <v>44867</v>
      </c>
      <c r="E10" t="s">
        <v>219</v>
      </c>
      <c r="F10" t="s">
        <v>230</v>
      </c>
    </row>
    <row r="11" spans="1:6">
      <c r="A11" s="98">
        <v>10</v>
      </c>
      <c r="B11" t="s">
        <v>231</v>
      </c>
      <c r="C11" s="37">
        <v>44916</v>
      </c>
      <c r="D11" s="37">
        <v>44916</v>
      </c>
      <c r="E11" t="s">
        <v>219</v>
      </c>
      <c r="F11" t="s">
        <v>232</v>
      </c>
    </row>
    <row r="12" spans="1:6">
      <c r="A12" s="98">
        <v>11</v>
      </c>
      <c r="B12" t="s">
        <v>233</v>
      </c>
      <c r="C12" s="37">
        <v>44916</v>
      </c>
      <c r="D12" s="37">
        <v>44916</v>
      </c>
      <c r="E12" t="s">
        <v>219</v>
      </c>
    </row>
    <row r="13" spans="1:6" ht="106.8" customHeight="1">
      <c r="A13" s="176">
        <v>12</v>
      </c>
      <c r="B13" s="175" t="s">
        <v>234</v>
      </c>
      <c r="C13" s="178">
        <v>44995</v>
      </c>
      <c r="D13" s="178">
        <v>45002</v>
      </c>
      <c r="E13" s="175" t="s">
        <v>219</v>
      </c>
      <c r="F13" s="177" t="s">
        <v>235</v>
      </c>
    </row>
    <row r="14" spans="1:6">
      <c r="A14"/>
    </row>
    <row r="15" spans="1:6">
      <c r="A15"/>
    </row>
    <row r="16" spans="1:6">
      <c r="A16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</sheetData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470B2A-ED9D-4C3B-90FB-9924203BCB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QC</vt:lpstr>
      <vt:lpstr>QA</vt:lpstr>
      <vt:lpstr>database</vt:lpstr>
      <vt:lpstr>User Requirement</vt:lpstr>
      <vt:lpstr>User Diagrams</vt:lpstr>
      <vt:lpstr>Activity Diagrams</vt:lpstr>
      <vt:lpstr>Data Dictionary </vt:lpstr>
      <vt:lpstr>Master Data</vt:lpstr>
      <vt:lpstr>New required &amp; 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Logs</dc:title>
  <dc:creator>Tulagarn</dc:creator>
  <cp:keywords>Programmer</cp:keywords>
  <cp:lastModifiedBy>pc</cp:lastModifiedBy>
  <cp:lastPrinted>2021-01-15T07:09:16Z</cp:lastPrinted>
  <dcterms:created xsi:type="dcterms:W3CDTF">2021-01-08T01:22:20Z</dcterms:created>
  <dcterms:modified xsi:type="dcterms:W3CDTF">2023-03-20T01:50:32Z</dcterms:modified>
</cp:coreProperties>
</file>