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lag\OneDrive\เอกสาร\GitHub\Siri_interprint_Estimate_MI2\flows\multiple f\"/>
    </mc:Choice>
  </mc:AlternateContent>
  <xr:revisionPtr revIDLastSave="0" documentId="13_ncr:1_{454D82C4-E2F8-4DB3-BB5F-8D64A173AB7F}" xr6:coauthVersionLast="47" xr6:coauthVersionMax="47" xr10:uidLastSave="{00000000-0000-0000-0000-000000000000}"/>
  <bookViews>
    <workbookView xWindow="4695" yWindow="4575" windowWidth="28800" windowHeight="15435" xr2:uid="{F9FC847E-C14C-4518-9DF1-EE80D6865FF5}"/>
  </bookViews>
  <sheets>
    <sheet name="cal foil stamp" sheetId="3" r:id="rId1"/>
    <sheet name="cal emboss-deboss" sheetId="4" r:id="rId2"/>
    <sheet name="data" sheetId="2" state="hidden" r:id="rId3"/>
    <sheet name="Sheet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20" i="4" l="1"/>
  <c r="T18" i="4"/>
  <c r="T16" i="4"/>
  <c r="Y23" i="3"/>
  <c r="Y26" i="3"/>
  <c r="Y29" i="3"/>
  <c r="Y28" i="3"/>
  <c r="Y25" i="3"/>
  <c r="Y22" i="3"/>
  <c r="Z19" i="3"/>
  <c r="X19" i="3"/>
  <c r="J9" i="3"/>
  <c r="K9" i="3"/>
  <c r="I9" i="3"/>
</calcChain>
</file>

<file path=xl/sharedStrings.xml><?xml version="1.0" encoding="utf-8"?>
<sst xmlns="http://schemas.openxmlformats.org/spreadsheetml/2006/main" count="370" uniqueCount="114">
  <si>
    <t>Foil Stamp</t>
  </si>
  <si>
    <t>size</t>
  </si>
  <si>
    <t>color</t>
  </si>
  <si>
    <t>ยอดงาน</t>
  </si>
  <si>
    <t>ups</t>
  </si>
  <si>
    <t>After ups</t>
  </si>
  <si>
    <t>process</t>
  </si>
  <si>
    <t>2 * 3</t>
  </si>
  <si>
    <t>เงินด้าน 12-U: 422K</t>
  </si>
  <si>
    <t>foil stamp</t>
  </si>
  <si>
    <t>3 * 4</t>
  </si>
  <si>
    <t>ทองกลาง  21-i-3 : OSP-213</t>
  </si>
  <si>
    <t>ทองแดง 71-K</t>
  </si>
  <si>
    <t>4 * 5</t>
  </si>
  <si>
    <t>ความลึก/ความนูน</t>
  </si>
  <si>
    <t>foil</t>
  </si>
  <si>
    <t xml:space="preserve">ขาว 018-DCB-Hologram </t>
  </si>
  <si>
    <t>emboss</t>
  </si>
  <si>
    <t>เงินเงา 11-i : OSP-100</t>
  </si>
  <si>
    <t>deboss</t>
  </si>
  <si>
    <t>เงินเงา 11-i : SAM</t>
  </si>
  <si>
    <t>เงินด้าน 12-i : OSP</t>
  </si>
  <si>
    <t>ทองเข้ม 21-C-2 : TO-06</t>
  </si>
  <si>
    <t>ทองอ่อน 21-i-1 : ED</t>
  </si>
  <si>
    <t>ทองกลาง  21-i-3 : OSP-395</t>
  </si>
  <si>
    <t>ทองกลาง  21-i-3 : SAM-7</t>
  </si>
  <si>
    <t>ทองกลาง  21-i-4 : OSP-295</t>
  </si>
  <si>
    <t>ทองอ่อน 22-H-2 : MG</t>
  </si>
  <si>
    <t>ทองอ่อน 22-N</t>
  </si>
  <si>
    <t>ทองกลางด้าน 22-i-1 : OSP</t>
  </si>
  <si>
    <t>ทองกลางด้าน 22-i-2 : OSP</t>
  </si>
  <si>
    <t>ทองกลางด้าน 22-i-3 :OSP</t>
  </si>
  <si>
    <t>ทองอ่อนด้าน 22-M : DAH</t>
  </si>
  <si>
    <t>แดง 32-H-1</t>
  </si>
  <si>
    <t>สีน้ำเงิน 51-i : 620</t>
  </si>
  <si>
    <t>ชมพู 61-H-4</t>
  </si>
  <si>
    <t>ชมพูอมม่วง 61-Y-1</t>
  </si>
  <si>
    <t>ทองแดงอ่อน 71-i-1 OSP</t>
  </si>
  <si>
    <t>ชพูด้าน 81-I : OS</t>
  </si>
  <si>
    <t>เงินเงา BM-01</t>
  </si>
  <si>
    <t>ทองเงา BM-17</t>
  </si>
  <si>
    <t>ทองแดง CU-1 : OSP-811</t>
  </si>
  <si>
    <t>ใส H-200</t>
  </si>
  <si>
    <t>โฮโลแกรม H-5550</t>
  </si>
  <si>
    <t>ทองเงา L7-G3</t>
  </si>
  <si>
    <t>โฮโลแกรม H-201</t>
  </si>
  <si>
    <t>block foil stamp</t>
  </si>
  <si>
    <t>ม้วน Foil</t>
  </si>
  <si>
    <t>Foil Stamp (labor)</t>
  </si>
  <si>
    <t>การแสดงผล (Foil Stamp)</t>
  </si>
  <si>
    <t>Block Foil Stamp</t>
  </si>
  <si>
    <t>Area (in²) : 2 x 3</t>
  </si>
  <si>
    <t>Area (in²) : 3 x 4</t>
  </si>
  <si>
    <t xml:space="preserve">Foil หน้าม้วน 24" ความยาว 400 ft </t>
  </si>
  <si>
    <t>สีเงินด้าน 12-U: 422K</t>
  </si>
  <si>
    <t xml:space="preserve">Foil หน้าม้วน 25" ความยาว 400 ft </t>
  </si>
  <si>
    <t>สีทองกลาง 21-i-3 : OSP-213</t>
  </si>
  <si>
    <t>สีทองแดง 71-K</t>
  </si>
  <si>
    <t>Area (in²) : 4 x 5</t>
  </si>
  <si>
    <t>Emboss/Deboss</t>
  </si>
  <si>
    <t>block emboss/deboss</t>
  </si>
  <si>
    <t>bossing (labor)</t>
  </si>
  <si>
    <t>การแสดงผล (Emboss/Deboss)</t>
  </si>
  <si>
    <t>Block Emboss</t>
  </si>
  <si>
    <t>Emboss</t>
  </si>
  <si>
    <t>Block Deboss</t>
  </si>
  <si>
    <t>Deboss</t>
  </si>
  <si>
    <t xml:space="preserve"> </t>
  </si>
  <si>
    <t>F000048</t>
  </si>
  <si>
    <t>F000053</t>
  </si>
  <si>
    <t>F000061</t>
  </si>
  <si>
    <t>F000062</t>
  </si>
  <si>
    <t>F Code</t>
  </si>
  <si>
    <t>F000048, F000053, F000062</t>
  </si>
  <si>
    <t>F000053, F000062</t>
  </si>
  <si>
    <t>F000053, F000061</t>
  </si>
  <si>
    <t>จำนวนการคิดค่า Block</t>
  </si>
  <si>
    <t>จำนวนการคิดค่าม้วน foil</t>
  </si>
  <si>
    <t>จำนวนการคิดค่า foil stamp (labor)</t>
  </si>
  <si>
    <t>เท่าจำนวนช่องของขนาดที่ใส่</t>
  </si>
  <si>
    <t>เท่าจำนวนการกดเลือก Process
***เท่ากันเสมอ</t>
  </si>
  <si>
    <t>Total</t>
  </si>
  <si>
    <t>Block 1</t>
  </si>
  <si>
    <t>Block 2</t>
  </si>
  <si>
    <t>Block 3</t>
  </si>
  <si>
    <t>Block 4</t>
  </si>
  <si>
    <t>Block 5</t>
  </si>
  <si>
    <t>Block 6</t>
  </si>
  <si>
    <t>Block 7</t>
  </si>
  <si>
    <t>ม้วน Foil 1</t>
  </si>
  <si>
    <t>ม้วน Foil 2</t>
  </si>
  <si>
    <t>ม้วน Foil 3</t>
  </si>
  <si>
    <t>ม้วน Foil 4</t>
  </si>
  <si>
    <t>ม้วน Foil 5</t>
  </si>
  <si>
    <t>ม้วน Foil 6</t>
  </si>
  <si>
    <t>labor 1</t>
  </si>
  <si>
    <t>labor 2</t>
  </si>
  <si>
    <t>labor 3</t>
  </si>
  <si>
    <t>labor 4</t>
  </si>
  <si>
    <t>labor 5</t>
  </si>
  <si>
    <t>labor 6</t>
  </si>
  <si>
    <t>ตัวอย่างคำนวณ</t>
  </si>
  <si>
    <t>Volume</t>
  </si>
  <si>
    <t>Unit Price</t>
  </si>
  <si>
    <t>Qty</t>
  </si>
  <si>
    <t>Price</t>
  </si>
  <si>
    <t>1.25 : emboss</t>
  </si>
  <si>
    <t>1.65 : emboss</t>
  </si>
  <si>
    <t>1.25 : deboss</t>
  </si>
  <si>
    <t>1.65 : deboss</t>
  </si>
  <si>
    <t xml:space="preserve">F000048, F000053, F000062 </t>
  </si>
  <si>
    <t xml:space="preserve">F000053, F000062 </t>
  </si>
  <si>
    <t>Offset</t>
  </si>
  <si>
    <t>Flexo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</si>
</sst>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00"/>
    <numFmt numFmtId="166" formatCode="0.0000"/>
  </numFmts>
  <fonts count="11">
    <font>
      <sz val="11"/>
      <color theme="1"/>
      <name val="Calibri"/>
      <family val="2"/>
      <scheme val="minor"/>
    </font>
    <font>
      <b/>
      <sz val="14"/>
      <color theme="0"/>
      <name val="TH Sarabun New"/>
      <family val="2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  <font>
      <b/>
      <sz val="14"/>
      <name val="TH Sarabun New"/>
      <family val="2"/>
    </font>
    <font>
      <sz val="14"/>
      <name val="TH Sarabun New"/>
      <family val="2"/>
    </font>
    <font>
      <sz val="14"/>
      <color rgb="FFFF0000"/>
      <name val="TH Sarabun Ne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TH Sarabun New"/>
      <family val="2"/>
    </font>
    <font>
      <b/>
      <sz val="18"/>
      <color theme="0"/>
      <name val="TH Sarabun New"/>
      <family val="2"/>
    </font>
  </fonts>
  <fills count="2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236">
    <xf numFmtId="0" fontId="0" fillId="0" borderId="0" xfId="0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3" fontId="2" fillId="3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8" borderId="0" xfId="0" applyFont="1" applyFill="1" applyAlignment="1">
      <alignment horizontal="center"/>
    </xf>
    <xf numFmtId="0" fontId="2" fillId="11" borderId="8" xfId="0" applyFont="1" applyFill="1" applyBorder="1"/>
    <xf numFmtId="0" fontId="2" fillId="4" borderId="9" xfId="0" applyFont="1" applyFill="1" applyBorder="1"/>
    <xf numFmtId="0" fontId="6" fillId="0" borderId="0" xfId="0" applyFont="1"/>
    <xf numFmtId="0" fontId="2" fillId="11" borderId="17" xfId="0" applyFont="1" applyFill="1" applyBorder="1" applyAlignment="1">
      <alignment horizontal="center"/>
    </xf>
    <xf numFmtId="0" fontId="2" fillId="11" borderId="18" xfId="0" applyFont="1" applyFill="1" applyBorder="1" applyAlignment="1">
      <alignment horizontal="center"/>
    </xf>
    <xf numFmtId="0" fontId="2" fillId="11" borderId="23" xfId="0" applyFont="1" applyFill="1" applyBorder="1" applyAlignment="1">
      <alignment horizontal="center"/>
    </xf>
    <xf numFmtId="0" fontId="1" fillId="0" borderId="0" xfId="0" applyFont="1"/>
    <xf numFmtId="0" fontId="2" fillId="10" borderId="5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2" fillId="0" borderId="0" xfId="0" applyFont="1"/>
    <xf numFmtId="0" fontId="2" fillId="11" borderId="13" xfId="0" applyFont="1" applyFill="1" applyBorder="1"/>
    <xf numFmtId="0" fontId="2" fillId="11" borderId="16" xfId="0" applyFont="1" applyFill="1" applyBorder="1"/>
    <xf numFmtId="0" fontId="6" fillId="0" borderId="0" xfId="0" applyFont="1" applyAlignment="1">
      <alignment horizontal="center"/>
    </xf>
    <xf numFmtId="0" fontId="2" fillId="11" borderId="21" xfId="0" applyFont="1" applyFill="1" applyBorder="1" applyAlignment="1">
      <alignment horizontal="left"/>
    </xf>
    <xf numFmtId="0" fontId="2" fillId="11" borderId="22" xfId="0" applyFont="1" applyFill="1" applyBorder="1" applyAlignment="1">
      <alignment horizontal="left"/>
    </xf>
    <xf numFmtId="0" fontId="2" fillId="0" borderId="0" xfId="0" applyFont="1" applyAlignment="1">
      <alignment vertical="center" wrapText="1"/>
    </xf>
    <xf numFmtId="0" fontId="2" fillId="10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3" fontId="2" fillId="10" borderId="0" xfId="0" applyNumberFormat="1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3" fontId="2" fillId="13" borderId="0" xfId="0" applyNumberFormat="1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4" borderId="0" xfId="0" applyFont="1" applyFill="1" applyAlignment="1">
      <alignment horizontal="left"/>
    </xf>
    <xf numFmtId="3" fontId="2" fillId="14" borderId="0" xfId="0" applyNumberFormat="1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15" borderId="0" xfId="0" applyFont="1" applyFill="1" applyAlignment="1">
      <alignment horizontal="left"/>
    </xf>
    <xf numFmtId="3" fontId="2" fillId="15" borderId="0" xfId="0" applyNumberFormat="1" applyFon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2" fillId="16" borderId="0" xfId="0" applyFont="1" applyFill="1" applyAlignment="1">
      <alignment horizontal="left"/>
    </xf>
    <xf numFmtId="3" fontId="2" fillId="16" borderId="0" xfId="0" applyNumberFormat="1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5" fillId="15" borderId="6" xfId="0" applyFont="1" applyFill="1" applyBorder="1" applyAlignment="1">
      <alignment horizontal="left"/>
    </xf>
    <xf numFmtId="0" fontId="5" fillId="10" borderId="6" xfId="0" applyFont="1" applyFill="1" applyBorder="1" applyAlignment="1">
      <alignment horizontal="left"/>
    </xf>
    <xf numFmtId="0" fontId="2" fillId="13" borderId="5" xfId="0" applyFont="1" applyFill="1" applyBorder="1" applyAlignment="1">
      <alignment horizontal="center"/>
    </xf>
    <xf numFmtId="0" fontId="5" fillId="13" borderId="6" xfId="0" applyFont="1" applyFill="1" applyBorder="1" applyAlignment="1">
      <alignment horizontal="left"/>
    </xf>
    <xf numFmtId="0" fontId="2" fillId="16" borderId="5" xfId="0" applyFont="1" applyFill="1" applyBorder="1" applyAlignment="1">
      <alignment horizontal="center"/>
    </xf>
    <xf numFmtId="0" fontId="5" fillId="16" borderId="6" xfId="0" applyFont="1" applyFill="1" applyBorder="1" applyAlignment="1">
      <alignment horizontal="left"/>
    </xf>
    <xf numFmtId="0" fontId="2" fillId="14" borderId="7" xfId="0" applyFont="1" applyFill="1" applyBorder="1" applyAlignment="1">
      <alignment horizontal="center"/>
    </xf>
    <xf numFmtId="0" fontId="2" fillId="14" borderId="11" xfId="0" applyFont="1" applyFill="1" applyBorder="1" applyAlignment="1">
      <alignment horizontal="left"/>
    </xf>
    <xf numFmtId="0" fontId="2" fillId="10" borderId="4" xfId="0" applyFont="1" applyFill="1" applyBorder="1" applyAlignment="1">
      <alignment horizontal="center"/>
    </xf>
    <xf numFmtId="0" fontId="2" fillId="16" borderId="25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2" fillId="10" borderId="12" xfId="0" applyFont="1" applyFill="1" applyBorder="1" applyAlignment="1">
      <alignment horizontal="center"/>
    </xf>
    <xf numFmtId="0" fontId="2" fillId="16" borderId="24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2" fillId="15" borderId="4" xfId="0" applyFont="1" applyFill="1" applyBorder="1" applyAlignment="1">
      <alignment horizontal="center"/>
    </xf>
    <xf numFmtId="0" fontId="2" fillId="15" borderId="12" xfId="0" applyFont="1" applyFill="1" applyBorder="1" applyAlignment="1">
      <alignment horizontal="center"/>
    </xf>
    <xf numFmtId="0" fontId="5" fillId="14" borderId="11" xfId="0" applyFont="1" applyFill="1" applyBorder="1" applyAlignment="1">
      <alignment horizontal="left"/>
    </xf>
    <xf numFmtId="0" fontId="2" fillId="13" borderId="4" xfId="0" applyFont="1" applyFill="1" applyBorder="1" applyAlignment="1">
      <alignment horizontal="center"/>
    </xf>
    <xf numFmtId="0" fontId="2" fillId="13" borderId="12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10" borderId="9" xfId="0" applyFont="1" applyFill="1" applyBorder="1" applyAlignment="1">
      <alignment horizontal="left"/>
    </xf>
    <xf numFmtId="0" fontId="2" fillId="16" borderId="9" xfId="0" applyFont="1" applyFill="1" applyBorder="1" applyAlignment="1">
      <alignment horizontal="left"/>
    </xf>
    <xf numFmtId="0" fontId="2" fillId="13" borderId="10" xfId="0" applyFont="1" applyFill="1" applyBorder="1" applyAlignment="1">
      <alignment horizontal="left"/>
    </xf>
    <xf numFmtId="0" fontId="2" fillId="14" borderId="9" xfId="0" applyFont="1" applyFill="1" applyBorder="1" applyAlignment="1">
      <alignment horizontal="left"/>
    </xf>
    <xf numFmtId="0" fontId="2" fillId="15" borderId="9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left"/>
    </xf>
    <xf numFmtId="0" fontId="2" fillId="15" borderId="18" xfId="0" applyFont="1" applyFill="1" applyBorder="1" applyAlignment="1">
      <alignment horizontal="center"/>
    </xf>
    <xf numFmtId="0" fontId="2" fillId="15" borderId="16" xfId="0" applyFont="1" applyFill="1" applyBorder="1" applyAlignment="1">
      <alignment horizontal="left"/>
    </xf>
    <xf numFmtId="0" fontId="2" fillId="15" borderId="17" xfId="0" applyFont="1" applyFill="1" applyBorder="1" applyAlignment="1">
      <alignment horizontal="left"/>
    </xf>
    <xf numFmtId="0" fontId="2" fillId="15" borderId="19" xfId="0" applyFont="1" applyFill="1" applyBorder="1" applyAlignment="1">
      <alignment horizontal="left"/>
    </xf>
    <xf numFmtId="0" fontId="2" fillId="15" borderId="20" xfId="0" applyFont="1" applyFill="1" applyBorder="1" applyAlignment="1">
      <alignment horizontal="left"/>
    </xf>
    <xf numFmtId="0" fontId="2" fillId="3" borderId="26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left"/>
    </xf>
    <xf numFmtId="0" fontId="2" fillId="10" borderId="13" xfId="0" applyFont="1" applyFill="1" applyBorder="1" applyAlignment="1">
      <alignment horizontal="left"/>
    </xf>
    <xf numFmtId="0" fontId="5" fillId="10" borderId="14" xfId="0" applyFont="1" applyFill="1" applyBorder="1" applyAlignment="1">
      <alignment horizontal="center"/>
    </xf>
    <xf numFmtId="0" fontId="2" fillId="10" borderId="26" xfId="0" applyFont="1" applyFill="1" applyBorder="1" applyAlignment="1">
      <alignment horizontal="center"/>
    </xf>
    <xf numFmtId="0" fontId="2" fillId="10" borderId="16" xfId="0" applyFont="1" applyFill="1" applyBorder="1" applyAlignment="1">
      <alignment horizontal="left"/>
    </xf>
    <xf numFmtId="0" fontId="2" fillId="10" borderId="17" xfId="0" applyFont="1" applyFill="1" applyBorder="1" applyAlignment="1">
      <alignment horizontal="left"/>
    </xf>
    <xf numFmtId="0" fontId="2" fillId="10" borderId="18" xfId="0" applyFont="1" applyFill="1" applyBorder="1" applyAlignment="1">
      <alignment horizontal="center"/>
    </xf>
    <xf numFmtId="0" fontId="2" fillId="10" borderId="19" xfId="0" applyFont="1" applyFill="1" applyBorder="1" applyAlignment="1">
      <alignment horizontal="left"/>
    </xf>
    <xf numFmtId="0" fontId="2" fillId="10" borderId="20" xfId="0" applyFont="1" applyFill="1" applyBorder="1" applyAlignment="1">
      <alignment horizontal="left"/>
    </xf>
    <xf numFmtId="0" fontId="2" fillId="15" borderId="27" xfId="0" applyFont="1" applyFill="1" applyBorder="1" applyAlignment="1">
      <alignment horizontal="left"/>
    </xf>
    <xf numFmtId="0" fontId="2" fillId="15" borderId="28" xfId="0" applyFont="1" applyFill="1" applyBorder="1" applyAlignment="1">
      <alignment horizontal="center"/>
    </xf>
    <xf numFmtId="0" fontId="2" fillId="15" borderId="29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left"/>
    </xf>
    <xf numFmtId="0" fontId="2" fillId="3" borderId="22" xfId="0" applyFont="1" applyFill="1" applyBorder="1" applyAlignment="1">
      <alignment horizontal="left"/>
    </xf>
    <xf numFmtId="0" fontId="2" fillId="3" borderId="23" xfId="0" applyFont="1" applyFill="1" applyBorder="1" applyAlignment="1">
      <alignment horizontal="center"/>
    </xf>
    <xf numFmtId="0" fontId="2" fillId="13" borderId="16" xfId="0" applyFont="1" applyFill="1" applyBorder="1" applyAlignment="1">
      <alignment horizontal="left"/>
    </xf>
    <xf numFmtId="0" fontId="2" fillId="13" borderId="17" xfId="0" applyFont="1" applyFill="1" applyBorder="1" applyAlignment="1">
      <alignment horizontal="center"/>
    </xf>
    <xf numFmtId="0" fontId="2" fillId="13" borderId="18" xfId="0" applyFont="1" applyFill="1" applyBorder="1" applyAlignment="1">
      <alignment horizontal="center"/>
    </xf>
    <xf numFmtId="0" fontId="2" fillId="13" borderId="17" xfId="0" applyFont="1" applyFill="1" applyBorder="1" applyAlignment="1">
      <alignment horizontal="left"/>
    </xf>
    <xf numFmtId="0" fontId="2" fillId="13" borderId="21" xfId="0" applyFont="1" applyFill="1" applyBorder="1" applyAlignment="1">
      <alignment horizontal="left"/>
    </xf>
    <xf numFmtId="0" fontId="2" fillId="13" borderId="22" xfId="0" applyFont="1" applyFill="1" applyBorder="1" applyAlignment="1">
      <alignment horizontal="left"/>
    </xf>
    <xf numFmtId="0" fontId="2" fillId="13" borderId="23" xfId="0" applyFont="1" applyFill="1" applyBorder="1" applyAlignment="1">
      <alignment horizontal="center"/>
    </xf>
    <xf numFmtId="0" fontId="2" fillId="16" borderId="13" xfId="0" applyFont="1" applyFill="1" applyBorder="1" applyAlignment="1">
      <alignment horizontal="left"/>
    </xf>
    <xf numFmtId="0" fontId="5" fillId="16" borderId="14" xfId="0" applyFont="1" applyFill="1" applyBorder="1" applyAlignment="1">
      <alignment horizontal="center"/>
    </xf>
    <xf numFmtId="0" fontId="2" fillId="16" borderId="26" xfId="0" applyFont="1" applyFill="1" applyBorder="1" applyAlignment="1">
      <alignment horizontal="center"/>
    </xf>
    <xf numFmtId="0" fontId="2" fillId="16" borderId="16" xfId="0" applyFont="1" applyFill="1" applyBorder="1" applyAlignment="1">
      <alignment horizontal="left"/>
    </xf>
    <xf numFmtId="0" fontId="2" fillId="16" borderId="17" xfId="0" applyFont="1" applyFill="1" applyBorder="1" applyAlignment="1">
      <alignment horizontal="left"/>
    </xf>
    <xf numFmtId="0" fontId="2" fillId="16" borderId="18" xfId="0" applyFont="1" applyFill="1" applyBorder="1" applyAlignment="1">
      <alignment horizontal="center"/>
    </xf>
    <xf numFmtId="0" fontId="2" fillId="16" borderId="19" xfId="0" applyFont="1" applyFill="1" applyBorder="1" applyAlignment="1">
      <alignment horizontal="left"/>
    </xf>
    <xf numFmtId="0" fontId="2" fillId="16" borderId="20" xfId="0" applyFont="1" applyFill="1" applyBorder="1" applyAlignment="1">
      <alignment horizontal="left"/>
    </xf>
    <xf numFmtId="0" fontId="2" fillId="14" borderId="13" xfId="0" applyFont="1" applyFill="1" applyBorder="1" applyAlignment="1">
      <alignment horizontal="left"/>
    </xf>
    <xf numFmtId="0" fontId="5" fillId="14" borderId="14" xfId="0" applyFont="1" applyFill="1" applyBorder="1" applyAlignment="1">
      <alignment horizontal="center"/>
    </xf>
    <xf numFmtId="0" fontId="2" fillId="14" borderId="26" xfId="0" applyFont="1" applyFill="1" applyBorder="1" applyAlignment="1">
      <alignment horizontal="center"/>
    </xf>
    <xf numFmtId="0" fontId="2" fillId="14" borderId="16" xfId="0" applyFont="1" applyFill="1" applyBorder="1" applyAlignment="1">
      <alignment horizontal="left"/>
    </xf>
    <xf numFmtId="0" fontId="2" fillId="14" borderId="17" xfId="0" applyFont="1" applyFill="1" applyBorder="1" applyAlignment="1">
      <alignment horizontal="left"/>
    </xf>
    <xf numFmtId="0" fontId="2" fillId="14" borderId="18" xfId="0" applyFont="1" applyFill="1" applyBorder="1" applyAlignment="1">
      <alignment horizontal="center"/>
    </xf>
    <xf numFmtId="0" fontId="2" fillId="14" borderId="21" xfId="0" applyFont="1" applyFill="1" applyBorder="1" applyAlignment="1">
      <alignment horizontal="left"/>
    </xf>
    <xf numFmtId="0" fontId="2" fillId="14" borderId="22" xfId="0" applyFont="1" applyFill="1" applyBorder="1" applyAlignment="1">
      <alignment horizontal="left"/>
    </xf>
    <xf numFmtId="0" fontId="2" fillId="14" borderId="23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wrapText="1"/>
    </xf>
    <xf numFmtId="0" fontId="2" fillId="0" borderId="16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9" fillId="0" borderId="0" xfId="0" applyFont="1" applyAlignment="1">
      <alignment vertical="center"/>
    </xf>
    <xf numFmtId="2" fontId="2" fillId="0" borderId="13" xfId="0" applyNumberFormat="1" applyFont="1" applyBorder="1" applyAlignment="1">
      <alignment horizontal="center"/>
    </xf>
    <xf numFmtId="4" fontId="2" fillId="0" borderId="15" xfId="0" applyNumberFormat="1" applyFont="1" applyBorder="1" applyAlignment="1">
      <alignment horizontal="center"/>
    </xf>
    <xf numFmtId="4" fontId="2" fillId="0" borderId="18" xfId="0" applyNumberFormat="1" applyFont="1" applyBorder="1" applyAlignment="1">
      <alignment horizontal="center"/>
    </xf>
    <xf numFmtId="4" fontId="2" fillId="0" borderId="23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3" fontId="2" fillId="0" borderId="17" xfId="0" applyNumberFormat="1" applyFont="1" applyBorder="1" applyAlignment="1">
      <alignment horizontal="center"/>
    </xf>
    <xf numFmtId="3" fontId="2" fillId="0" borderId="17" xfId="1" applyNumberFormat="1" applyFont="1" applyBorder="1" applyAlignment="1">
      <alignment horizontal="center"/>
    </xf>
    <xf numFmtId="3" fontId="2" fillId="0" borderId="30" xfId="0" applyNumberFormat="1" applyFont="1" applyBorder="1" applyAlignment="1">
      <alignment horizontal="center"/>
    </xf>
    <xf numFmtId="166" fontId="2" fillId="0" borderId="16" xfId="0" applyNumberFormat="1" applyFont="1" applyBorder="1" applyAlignment="1">
      <alignment horizontal="center"/>
    </xf>
    <xf numFmtId="165" fontId="2" fillId="0" borderId="35" xfId="0" applyNumberFormat="1" applyFont="1" applyBorder="1" applyAlignment="1">
      <alignment horizontal="center"/>
    </xf>
    <xf numFmtId="4" fontId="3" fillId="17" borderId="17" xfId="0" applyNumberFormat="1" applyFont="1" applyFill="1" applyBorder="1" applyAlignment="1">
      <alignment horizontal="center"/>
    </xf>
    <xf numFmtId="3" fontId="3" fillId="17" borderId="17" xfId="0" applyNumberFormat="1" applyFont="1" applyFill="1" applyBorder="1" applyAlignment="1">
      <alignment horizontal="center"/>
    </xf>
    <xf numFmtId="4" fontId="3" fillId="17" borderId="31" xfId="0" applyNumberFormat="1" applyFont="1" applyFill="1" applyBorder="1" applyAlignment="1">
      <alignment horizontal="center"/>
    </xf>
    <xf numFmtId="3" fontId="3" fillId="17" borderId="31" xfId="0" applyNumberFormat="1" applyFont="1" applyFill="1" applyBorder="1" applyAlignment="1">
      <alignment horizontal="center"/>
    </xf>
    <xf numFmtId="2" fontId="2" fillId="0" borderId="27" xfId="0" applyNumberFormat="1" applyFont="1" applyBorder="1" applyAlignment="1">
      <alignment horizontal="center"/>
    </xf>
    <xf numFmtId="3" fontId="2" fillId="0" borderId="28" xfId="0" applyNumberFormat="1" applyFont="1" applyBorder="1" applyAlignment="1">
      <alignment horizontal="center"/>
    </xf>
    <xf numFmtId="4" fontId="2" fillId="0" borderId="29" xfId="0" applyNumberFormat="1" applyFont="1" applyBorder="1" applyAlignment="1">
      <alignment horizontal="center"/>
    </xf>
    <xf numFmtId="0" fontId="2" fillId="15" borderId="37" xfId="0" applyFont="1" applyFill="1" applyBorder="1" applyAlignment="1">
      <alignment horizontal="center"/>
    </xf>
    <xf numFmtId="0" fontId="2" fillId="10" borderId="37" xfId="0" applyFont="1" applyFill="1" applyBorder="1" applyAlignment="1">
      <alignment horizontal="center"/>
    </xf>
    <xf numFmtId="0" fontId="2" fillId="13" borderId="37" xfId="0" applyFont="1" applyFill="1" applyBorder="1" applyAlignment="1">
      <alignment horizontal="center"/>
    </xf>
    <xf numFmtId="0" fontId="2" fillId="16" borderId="37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15" borderId="39" xfId="0" applyFont="1" applyFill="1" applyBorder="1" applyAlignment="1">
      <alignment horizontal="center"/>
    </xf>
    <xf numFmtId="0" fontId="2" fillId="10" borderId="39" xfId="0" applyFont="1" applyFill="1" applyBorder="1" applyAlignment="1">
      <alignment horizontal="center"/>
    </xf>
    <xf numFmtId="0" fontId="2" fillId="13" borderId="39" xfId="0" applyFont="1" applyFill="1" applyBorder="1" applyAlignment="1">
      <alignment horizontal="center"/>
    </xf>
    <xf numFmtId="0" fontId="2" fillId="16" borderId="39" xfId="0" applyFont="1" applyFill="1" applyBorder="1" applyAlignment="1">
      <alignment horizontal="center"/>
    </xf>
    <xf numFmtId="0" fontId="2" fillId="14" borderId="40" xfId="0" applyFont="1" applyFill="1" applyBorder="1" applyAlignment="1">
      <alignment horizontal="center"/>
    </xf>
    <xf numFmtId="0" fontId="2" fillId="14" borderId="41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15" borderId="42" xfId="0" applyFont="1" applyFill="1" applyBorder="1" applyAlignment="1">
      <alignment horizontal="center"/>
    </xf>
    <xf numFmtId="0" fontId="2" fillId="10" borderId="42" xfId="0" applyFont="1" applyFill="1" applyBorder="1" applyAlignment="1">
      <alignment horizontal="center"/>
    </xf>
    <xf numFmtId="0" fontId="2" fillId="13" borderId="42" xfId="0" applyFont="1" applyFill="1" applyBorder="1" applyAlignment="1">
      <alignment horizontal="center"/>
    </xf>
    <xf numFmtId="0" fontId="2" fillId="16" borderId="42" xfId="0" applyFont="1" applyFill="1" applyBorder="1" applyAlignment="1">
      <alignment horizontal="center"/>
    </xf>
    <xf numFmtId="0" fontId="2" fillId="14" borderId="43" xfId="0" applyFont="1" applyFill="1" applyBorder="1" applyAlignment="1">
      <alignment horizontal="center"/>
    </xf>
    <xf numFmtId="0" fontId="2" fillId="15" borderId="9" xfId="0" applyFont="1" applyFill="1" applyBorder="1"/>
    <xf numFmtId="0" fontId="2" fillId="10" borderId="9" xfId="0" applyFont="1" applyFill="1" applyBorder="1"/>
    <xf numFmtId="0" fontId="5" fillId="16" borderId="9" xfId="0" applyFont="1" applyFill="1" applyBorder="1" applyAlignment="1">
      <alignment wrapText="1"/>
    </xf>
    <xf numFmtId="0" fontId="5" fillId="14" borderId="10" xfId="0" applyFont="1" applyFill="1" applyBorder="1" applyAlignment="1">
      <alignment wrapText="1"/>
    </xf>
    <xf numFmtId="0" fontId="2" fillId="0" borderId="6" xfId="0" applyFont="1" applyBorder="1" applyAlignment="1">
      <alignment vertical="center"/>
    </xf>
    <xf numFmtId="0" fontId="2" fillId="0" borderId="44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4" fontId="2" fillId="0" borderId="45" xfId="0" applyNumberFormat="1" applyFont="1" applyBorder="1" applyAlignment="1">
      <alignment horizontal="center"/>
    </xf>
    <xf numFmtId="4" fontId="2" fillId="0" borderId="47" xfId="0" applyNumberFormat="1" applyFont="1" applyBorder="1" applyAlignment="1">
      <alignment horizontal="center"/>
    </xf>
    <xf numFmtId="3" fontId="2" fillId="0" borderId="34" xfId="0" applyNumberFormat="1" applyFont="1" applyBorder="1" applyAlignment="1">
      <alignment horizontal="center"/>
    </xf>
    <xf numFmtId="3" fontId="2" fillId="0" borderId="46" xfId="0" applyNumberFormat="1" applyFont="1" applyBorder="1" applyAlignment="1">
      <alignment horizontal="center"/>
    </xf>
    <xf numFmtId="3" fontId="2" fillId="0" borderId="38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2" fontId="2" fillId="0" borderId="48" xfId="0" applyNumberFormat="1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5" fillId="0" borderId="14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2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/>
    <xf numFmtId="0" fontId="2" fillId="0" borderId="16" xfId="0" applyFont="1" applyBorder="1"/>
    <xf numFmtId="0" fontId="0" fillId="19" borderId="0" xfId="0" applyFill="1"/>
    <xf numFmtId="0" fontId="0" fillId="15" borderId="0" xfId="0" applyFill="1"/>
    <xf numFmtId="0" fontId="0" fillId="21" borderId="0" xfId="0" applyFill="1"/>
    <xf numFmtId="0" fontId="6" fillId="5" borderId="16" xfId="0" applyFont="1" applyFill="1" applyBorder="1" applyAlignment="1">
      <alignment horizontal="center"/>
    </xf>
    <xf numFmtId="3" fontId="6" fillId="5" borderId="17" xfId="0" applyNumberFormat="1" applyFont="1" applyFill="1" applyBorder="1" applyAlignment="1">
      <alignment horizontal="center"/>
    </xf>
    <xf numFmtId="3" fontId="6" fillId="5" borderId="30" xfId="0" applyNumberFormat="1" applyFont="1" applyFill="1" applyBorder="1" applyAlignment="1">
      <alignment horizontal="center"/>
    </xf>
    <xf numFmtId="3" fontId="6" fillId="5" borderId="34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12" borderId="0" xfId="0" applyFont="1" applyFill="1" applyAlignment="1">
      <alignment horizontal="center"/>
    </xf>
    <xf numFmtId="0" fontId="9" fillId="18" borderId="0" xfId="0" applyFont="1" applyFill="1" applyAlignment="1">
      <alignment horizontal="center" vertical="center"/>
    </xf>
    <xf numFmtId="0" fontId="9" fillId="18" borderId="36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0" fontId="5" fillId="15" borderId="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/>
    </xf>
    <xf numFmtId="0" fontId="1" fillId="12" borderId="11" xfId="0" applyFont="1" applyFill="1" applyBorder="1" applyAlignment="1">
      <alignment horizontal="center"/>
    </xf>
    <xf numFmtId="0" fontId="10" fillId="20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18">
    <dxf>
      <font>
        <strike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2.png"/><Relationship Id="rId3" Type="http://schemas.openxmlformats.org/officeDocument/2006/relationships/image" Target="../media/image20.png"/><Relationship Id="rId21" Type="http://schemas.openxmlformats.org/officeDocument/2006/relationships/image" Target="../media/image35.png"/><Relationship Id="rId7" Type="http://schemas.openxmlformats.org/officeDocument/2006/relationships/image" Target="../media/image3.png"/><Relationship Id="rId12" Type="http://schemas.openxmlformats.org/officeDocument/2006/relationships/image" Target="../media/image27.png"/><Relationship Id="rId17" Type="http://schemas.openxmlformats.org/officeDocument/2006/relationships/image" Target="../media/image31.png"/><Relationship Id="rId2" Type="http://schemas.openxmlformats.org/officeDocument/2006/relationships/image" Target="../media/image19.png"/><Relationship Id="rId16" Type="http://schemas.openxmlformats.org/officeDocument/2006/relationships/image" Target="../media/image11.png"/><Relationship Id="rId20" Type="http://schemas.openxmlformats.org/officeDocument/2006/relationships/image" Target="../media/image34.png"/><Relationship Id="rId1" Type="http://schemas.openxmlformats.org/officeDocument/2006/relationships/image" Target="../media/image18.png"/><Relationship Id="rId6" Type="http://schemas.openxmlformats.org/officeDocument/2006/relationships/image" Target="../media/image22.png"/><Relationship Id="rId11" Type="http://schemas.openxmlformats.org/officeDocument/2006/relationships/image" Target="../media/image26.png"/><Relationship Id="rId5" Type="http://schemas.openxmlformats.org/officeDocument/2006/relationships/image" Target="../media/image21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3.png"/><Relationship Id="rId4" Type="http://schemas.openxmlformats.org/officeDocument/2006/relationships/image" Target="../media/image2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3.png"/><Relationship Id="rId3" Type="http://schemas.openxmlformats.org/officeDocument/2006/relationships/image" Target="../media/image38.png"/><Relationship Id="rId7" Type="http://schemas.openxmlformats.org/officeDocument/2006/relationships/image" Target="../media/image42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6" Type="http://schemas.openxmlformats.org/officeDocument/2006/relationships/image" Target="../media/image41.png"/><Relationship Id="rId5" Type="http://schemas.openxmlformats.org/officeDocument/2006/relationships/image" Target="../media/image40.png"/><Relationship Id="rId4" Type="http://schemas.openxmlformats.org/officeDocument/2006/relationships/image" Target="../media/image39.png"/><Relationship Id="rId9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13</xdr:row>
      <xdr:rowOff>213361</xdr:rowOff>
    </xdr:from>
    <xdr:to>
      <xdr:col>2</xdr:col>
      <xdr:colOff>1066800</xdr:colOff>
      <xdr:row>17</xdr:row>
      <xdr:rowOff>236220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FAF6328F-C1DF-49F2-7F65-064F4808A590}"/>
            </a:ext>
          </a:extLst>
        </xdr:cNvPr>
        <xdr:cNvGrpSpPr/>
      </xdr:nvGrpSpPr>
      <xdr:grpSpPr>
        <a:xfrm>
          <a:off x="198120" y="3366136"/>
          <a:ext cx="3021330" cy="1042034"/>
          <a:chOff x="335280" y="4907281"/>
          <a:chExt cx="3078480" cy="1097279"/>
        </a:xfrm>
      </xdr:grpSpPr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4A5DDAAD-A0DB-90B7-0BC0-FE178BAE2613}"/>
              </a:ext>
            </a:extLst>
          </xdr:cNvPr>
          <xdr:cNvGrpSpPr/>
        </xdr:nvGrpSpPr>
        <xdr:grpSpPr>
          <a:xfrm>
            <a:off x="335280" y="4907281"/>
            <a:ext cx="3078480" cy="1097279"/>
            <a:chOff x="266700" y="3261361"/>
            <a:chExt cx="3078480" cy="1097279"/>
          </a:xfrm>
        </xdr:grpSpPr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F4FC25BD-5A2C-4CC5-895E-A0749DCC66B1}"/>
                </a:ext>
              </a:extLst>
            </xdr:cNvPr>
            <xdr:cNvGrpSpPr/>
          </xdr:nvGrpSpPr>
          <xdr:grpSpPr>
            <a:xfrm>
              <a:off x="266700" y="3261361"/>
              <a:ext cx="3078480" cy="1097279"/>
              <a:chOff x="388620" y="3368041"/>
              <a:chExt cx="4170784" cy="1579263"/>
            </a:xfrm>
          </xdr:grpSpPr>
          <xdr:grpSp>
            <xdr:nvGrpSpPr>
              <xdr:cNvPr id="3" name="Group 2">
                <a:extLst>
                  <a:ext uri="{FF2B5EF4-FFF2-40B4-BE49-F238E27FC236}">
                    <a16:creationId xmlns:a16="http://schemas.microsoft.com/office/drawing/2014/main" id="{6A1E837A-4ABC-0F89-2BD7-FB746DB9123C}"/>
                  </a:ext>
                </a:extLst>
              </xdr:cNvPr>
              <xdr:cNvGrpSpPr/>
            </xdr:nvGrpSpPr>
            <xdr:grpSpPr>
              <a:xfrm>
                <a:off x="388620" y="3368041"/>
                <a:ext cx="4170784" cy="1579263"/>
                <a:chOff x="270587" y="301741"/>
                <a:chExt cx="4170784" cy="1579263"/>
              </a:xfrm>
            </xdr:grpSpPr>
            <xdr:sp macro="" textlink="">
              <xdr:nvSpPr>
                <xdr:cNvPr id="7" name="Rectangle: Rounded Corners 6">
                  <a:extLst>
                    <a:ext uri="{FF2B5EF4-FFF2-40B4-BE49-F238E27FC236}">
                      <a16:creationId xmlns:a16="http://schemas.microsoft.com/office/drawing/2014/main" id="{C2EEF363-E4AC-0A72-3EE8-E8B8C075B16C}"/>
                    </a:ext>
                  </a:extLst>
                </xdr:cNvPr>
                <xdr:cNvSpPr/>
              </xdr:nvSpPr>
              <xdr:spPr>
                <a:xfrm>
                  <a:off x="270587" y="301741"/>
                  <a:ext cx="4170784" cy="1579263"/>
                </a:xfrm>
                <a:prstGeom prst="roundRect">
                  <a:avLst>
                    <a:gd name="adj" fmla="val 7521"/>
                  </a:avLst>
                </a:prstGeom>
                <a:solidFill>
                  <a:schemeClr val="bg1"/>
                </a:solidFill>
                <a:ln>
                  <a:solidFill>
                    <a:schemeClr val="accent3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  <xdr:grpSp>
              <xdr:nvGrpSpPr>
                <xdr:cNvPr id="8" name="Group 7">
                  <a:extLst>
                    <a:ext uri="{FF2B5EF4-FFF2-40B4-BE49-F238E27FC236}">
                      <a16:creationId xmlns:a16="http://schemas.microsoft.com/office/drawing/2014/main" id="{8A26DB84-FD71-9DEA-7EAA-8864F5C78B6A}"/>
                    </a:ext>
                  </a:extLst>
                </xdr:cNvPr>
                <xdr:cNvGrpSpPr/>
              </xdr:nvGrpSpPr>
              <xdr:grpSpPr>
                <a:xfrm>
                  <a:off x="379205" y="410284"/>
                  <a:ext cx="3920705" cy="591249"/>
                  <a:chOff x="379205" y="410284"/>
                  <a:chExt cx="3920705" cy="591249"/>
                </a:xfrm>
              </xdr:grpSpPr>
              <xdr:pic>
                <xdr:nvPicPr>
                  <xdr:cNvPr id="9" name="Picture 8">
                    <a:extLst>
                      <a:ext uri="{FF2B5EF4-FFF2-40B4-BE49-F238E27FC236}">
                        <a16:creationId xmlns:a16="http://schemas.microsoft.com/office/drawing/2014/main" id="{1BDBA448-1C4E-81C9-96BD-EF77F61D4C4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"/>
                  <a:srcRect b="53518"/>
                  <a:stretch/>
                </xdr:blipFill>
                <xdr:spPr>
                  <a:xfrm>
                    <a:off x="379205" y="410284"/>
                    <a:ext cx="3726503" cy="30817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" name="Picture 9">
                    <a:extLst>
                      <a:ext uri="{FF2B5EF4-FFF2-40B4-BE49-F238E27FC236}">
                        <a16:creationId xmlns:a16="http://schemas.microsoft.com/office/drawing/2014/main" id="{14814090-13B3-F31F-DD45-F7394B981611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"/>
                  <a:stretch>
                    <a:fillRect/>
                  </a:stretch>
                </xdr:blipFill>
                <xdr:spPr>
                  <a:xfrm>
                    <a:off x="3830432" y="428945"/>
                    <a:ext cx="469478" cy="289511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" name="Picture 10">
                    <a:extLst>
                      <a:ext uri="{FF2B5EF4-FFF2-40B4-BE49-F238E27FC236}">
                        <a16:creationId xmlns:a16="http://schemas.microsoft.com/office/drawing/2014/main" id="{37CA24CD-353E-9A2A-3C87-E426EC78F9A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3"/>
                  <a:stretch>
                    <a:fillRect/>
                  </a:stretch>
                </xdr:blipFill>
                <xdr:spPr>
                  <a:xfrm>
                    <a:off x="3830432" y="747120"/>
                    <a:ext cx="450675" cy="254413"/>
                  </a:xfrm>
                  <a:prstGeom prst="rect">
                    <a:avLst/>
                  </a:prstGeom>
                </xdr:spPr>
              </xdr:pic>
            </xdr:grpSp>
          </xdr:grpSp>
          <xdr:pic>
            <xdr:nvPicPr>
              <xdr:cNvPr id="4" name="Picture 3">
                <a:extLst>
                  <a:ext uri="{FF2B5EF4-FFF2-40B4-BE49-F238E27FC236}">
                    <a16:creationId xmlns:a16="http://schemas.microsoft.com/office/drawing/2014/main" id="{E4B9DC41-79CB-654D-6365-47E5878F6D6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2651759" y="3505201"/>
                <a:ext cx="1280743" cy="289559"/>
              </a:xfrm>
              <a:prstGeom prst="rect">
                <a:avLst/>
              </a:prstGeom>
            </xdr:spPr>
          </xdr:pic>
          <xdr:pic>
            <xdr:nvPicPr>
              <xdr:cNvPr id="5" name="Picture 4">
                <a:extLst>
                  <a:ext uri="{FF2B5EF4-FFF2-40B4-BE49-F238E27FC236}">
                    <a16:creationId xmlns:a16="http://schemas.microsoft.com/office/drawing/2014/main" id="{569E2AEB-E293-D64B-E6E9-BA6546D5B4A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5"/>
              <a:srcRect l="2279" t="8888" r="1" b="4444"/>
              <a:stretch/>
            </xdr:blipFill>
            <xdr:spPr>
              <a:xfrm>
                <a:off x="2667000" y="3803662"/>
                <a:ext cx="1276728" cy="280658"/>
              </a:xfrm>
              <a:prstGeom prst="rect">
                <a:avLst/>
              </a:prstGeom>
            </xdr:spPr>
          </xdr:pic>
          <xdr:pic>
            <xdr:nvPicPr>
              <xdr:cNvPr id="6" name="Picture 5">
                <a:extLst>
                  <a:ext uri="{FF2B5EF4-FFF2-40B4-BE49-F238E27FC236}">
                    <a16:creationId xmlns:a16="http://schemas.microsoft.com/office/drawing/2014/main" id="{1D94EECC-667C-A464-5AAF-E836F93EFB1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/>
              <a:stretch>
                <a:fillRect/>
              </a:stretch>
            </xdr:blipFill>
            <xdr:spPr>
              <a:xfrm>
                <a:off x="1249680" y="4091940"/>
                <a:ext cx="3032760" cy="305457"/>
              </a:xfrm>
              <a:prstGeom prst="rect">
                <a:avLst/>
              </a:prstGeom>
            </xdr:spPr>
          </xdr:pic>
        </xdr:grpSp>
        <xdr:grpSp>
          <xdr:nvGrpSpPr>
            <xdr:cNvPr id="73" name="Group 72">
              <a:extLst>
                <a:ext uri="{FF2B5EF4-FFF2-40B4-BE49-F238E27FC236}">
                  <a16:creationId xmlns:a16="http://schemas.microsoft.com/office/drawing/2014/main" id="{CD3B4E4B-027B-AC3A-751D-30276AEDDC43}"/>
                </a:ext>
              </a:extLst>
            </xdr:cNvPr>
            <xdr:cNvGrpSpPr/>
          </xdr:nvGrpSpPr>
          <xdr:grpSpPr>
            <a:xfrm>
              <a:off x="1958340" y="3977641"/>
              <a:ext cx="899160" cy="331309"/>
              <a:chOff x="2080260" y="4297681"/>
              <a:chExt cx="899160" cy="331309"/>
            </a:xfrm>
          </xdr:grpSpPr>
          <xdr:sp macro="" textlink="">
            <xdr:nvSpPr>
              <xdr:cNvPr id="71" name="Rectangle 70">
                <a:extLst>
                  <a:ext uri="{FF2B5EF4-FFF2-40B4-BE49-F238E27FC236}">
                    <a16:creationId xmlns:a16="http://schemas.microsoft.com/office/drawing/2014/main" id="{44E30ADF-C6FF-4A88-0E83-EC03C7B94813}"/>
                  </a:ext>
                </a:extLst>
              </xdr:cNvPr>
              <xdr:cNvSpPr/>
            </xdr:nvSpPr>
            <xdr:spPr>
              <a:xfrm>
                <a:off x="2080260" y="4366260"/>
                <a:ext cx="899160" cy="1752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accent3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72" name="TextBox 133">
                <a:extLst>
                  <a:ext uri="{FF2B5EF4-FFF2-40B4-BE49-F238E27FC236}">
                    <a16:creationId xmlns:a16="http://schemas.microsoft.com/office/drawing/2014/main" id="{2592563E-C350-433C-B684-F9B4C760A720}"/>
                  </a:ext>
                </a:extLst>
              </xdr:cNvPr>
              <xdr:cNvSpPr txBox="1"/>
            </xdr:nvSpPr>
            <xdr:spPr>
              <a:xfrm>
                <a:off x="2141220" y="4297681"/>
                <a:ext cx="739140" cy="331309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400">
                    <a:latin typeface="TH Sarabun New" panose="020B0500040200020003" pitchFamily="34" charset="-34"/>
                    <a:cs typeface="TH Sarabun New" panose="020B0500040200020003" pitchFamily="34" charset="-34"/>
                  </a:rPr>
                  <a:t>F000048</a:t>
                </a:r>
              </a:p>
            </xdr:txBody>
          </xdr:sp>
        </xdr:grpSp>
      </xdr:grp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47F3B18D-61F5-C601-5D4F-EC90A5916560}"/>
              </a:ext>
            </a:extLst>
          </xdr:cNvPr>
          <xdr:cNvSpPr txBox="1"/>
        </xdr:nvSpPr>
        <xdr:spPr>
          <a:xfrm>
            <a:off x="1325880" y="5646420"/>
            <a:ext cx="678180" cy="2438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H Sarabun New" panose="020B0500040200020003" pitchFamily="34" charset="-34"/>
                <a:cs typeface="TH Sarabun New" panose="020B0500040200020003" pitchFamily="34" charset="-34"/>
              </a:rPr>
              <a:t>F</a:t>
            </a:r>
            <a:r>
              <a:rPr lang="en-US" sz="1200" b="1" baseline="0">
                <a:latin typeface="TH Sarabun New" panose="020B0500040200020003" pitchFamily="34" charset="-34"/>
                <a:cs typeface="TH Sarabun New" panose="020B0500040200020003" pitchFamily="34" charset="-34"/>
              </a:rPr>
              <a:t> Code</a:t>
            </a:r>
            <a:endParaRPr lang="en-US" sz="1200" b="1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  <xdr:pic>
        <xdr:nvPicPr>
          <xdr:cNvPr id="69" name="Picture 68">
            <a:extLst>
              <a:ext uri="{FF2B5EF4-FFF2-40B4-BE49-F238E27FC236}">
                <a16:creationId xmlns:a16="http://schemas.microsoft.com/office/drawing/2014/main" id="{99ABF6EF-D9A2-4B69-9B29-9316244B5B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964180" y="5669281"/>
            <a:ext cx="346524" cy="20115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236220</xdr:colOff>
      <xdr:row>23</xdr:row>
      <xdr:rowOff>83821</xdr:rowOff>
    </xdr:from>
    <xdr:to>
      <xdr:col>2</xdr:col>
      <xdr:colOff>1104900</xdr:colOff>
      <xdr:row>26</xdr:row>
      <xdr:rowOff>83821</xdr:rowOff>
    </xdr:to>
    <xdr:grpSp>
      <xdr:nvGrpSpPr>
        <xdr:cNvPr id="103" name="Group 102">
          <a:extLst>
            <a:ext uri="{FF2B5EF4-FFF2-40B4-BE49-F238E27FC236}">
              <a16:creationId xmlns:a16="http://schemas.microsoft.com/office/drawing/2014/main" id="{5EAF75C3-5278-4E68-884A-DDB8BD110406}"/>
            </a:ext>
          </a:extLst>
        </xdr:cNvPr>
        <xdr:cNvGrpSpPr/>
      </xdr:nvGrpSpPr>
      <xdr:grpSpPr>
        <a:xfrm>
          <a:off x="236220" y="5655946"/>
          <a:ext cx="3021330" cy="695325"/>
          <a:chOff x="335280" y="4907282"/>
          <a:chExt cx="3078480" cy="807720"/>
        </a:xfrm>
      </xdr:grpSpPr>
      <xdr:grpSp>
        <xdr:nvGrpSpPr>
          <xdr:cNvPr id="104" name="Group 103">
            <a:extLst>
              <a:ext uri="{FF2B5EF4-FFF2-40B4-BE49-F238E27FC236}">
                <a16:creationId xmlns:a16="http://schemas.microsoft.com/office/drawing/2014/main" id="{F91F50DD-6605-2E5E-D41C-A8E0D4594755}"/>
              </a:ext>
            </a:extLst>
          </xdr:cNvPr>
          <xdr:cNvGrpSpPr/>
        </xdr:nvGrpSpPr>
        <xdr:grpSpPr>
          <a:xfrm>
            <a:off x="335280" y="4907282"/>
            <a:ext cx="3078480" cy="807720"/>
            <a:chOff x="266700" y="3261362"/>
            <a:chExt cx="3078480" cy="807720"/>
          </a:xfrm>
        </xdr:grpSpPr>
        <xdr:grpSp>
          <xdr:nvGrpSpPr>
            <xdr:cNvPr id="107" name="Group 106">
              <a:extLst>
                <a:ext uri="{FF2B5EF4-FFF2-40B4-BE49-F238E27FC236}">
                  <a16:creationId xmlns:a16="http://schemas.microsoft.com/office/drawing/2014/main" id="{6E5CDB91-504E-7C72-B259-CEED554F5079}"/>
                </a:ext>
              </a:extLst>
            </xdr:cNvPr>
            <xdr:cNvGrpSpPr/>
          </xdr:nvGrpSpPr>
          <xdr:grpSpPr>
            <a:xfrm>
              <a:off x="266700" y="3261362"/>
              <a:ext cx="3078480" cy="807720"/>
              <a:chOff x="388620" y="3368042"/>
              <a:chExt cx="4170784" cy="1162514"/>
            </a:xfrm>
          </xdr:grpSpPr>
          <xdr:grpSp>
            <xdr:nvGrpSpPr>
              <xdr:cNvPr id="111" name="Group 110">
                <a:extLst>
                  <a:ext uri="{FF2B5EF4-FFF2-40B4-BE49-F238E27FC236}">
                    <a16:creationId xmlns:a16="http://schemas.microsoft.com/office/drawing/2014/main" id="{D13756D8-1489-71AC-ED84-C08E255E16C5}"/>
                  </a:ext>
                </a:extLst>
              </xdr:cNvPr>
              <xdr:cNvGrpSpPr/>
            </xdr:nvGrpSpPr>
            <xdr:grpSpPr>
              <a:xfrm>
                <a:off x="388620" y="3368042"/>
                <a:ext cx="4170784" cy="1162514"/>
                <a:chOff x="270587" y="301742"/>
                <a:chExt cx="4170784" cy="1162514"/>
              </a:xfrm>
            </xdr:grpSpPr>
            <xdr:sp macro="" textlink="">
              <xdr:nvSpPr>
                <xdr:cNvPr id="115" name="Rectangle: Rounded Corners 114">
                  <a:extLst>
                    <a:ext uri="{FF2B5EF4-FFF2-40B4-BE49-F238E27FC236}">
                      <a16:creationId xmlns:a16="http://schemas.microsoft.com/office/drawing/2014/main" id="{466E6513-E3D9-5E34-4528-8E29E84A236C}"/>
                    </a:ext>
                  </a:extLst>
                </xdr:cNvPr>
                <xdr:cNvSpPr/>
              </xdr:nvSpPr>
              <xdr:spPr>
                <a:xfrm>
                  <a:off x="270587" y="301742"/>
                  <a:ext cx="4170784" cy="1162514"/>
                </a:xfrm>
                <a:prstGeom prst="roundRect">
                  <a:avLst>
                    <a:gd name="adj" fmla="val 7521"/>
                  </a:avLst>
                </a:prstGeom>
                <a:solidFill>
                  <a:schemeClr val="bg1"/>
                </a:solidFill>
                <a:ln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  <xdr:grpSp>
              <xdr:nvGrpSpPr>
                <xdr:cNvPr id="116" name="Group 115">
                  <a:extLst>
                    <a:ext uri="{FF2B5EF4-FFF2-40B4-BE49-F238E27FC236}">
                      <a16:creationId xmlns:a16="http://schemas.microsoft.com/office/drawing/2014/main" id="{DB126F43-FD8A-D9EF-EAE2-12C37267CE9F}"/>
                    </a:ext>
                  </a:extLst>
                </xdr:cNvPr>
                <xdr:cNvGrpSpPr/>
              </xdr:nvGrpSpPr>
              <xdr:grpSpPr>
                <a:xfrm>
                  <a:off x="379205" y="410284"/>
                  <a:ext cx="3920705" cy="308173"/>
                  <a:chOff x="379205" y="410284"/>
                  <a:chExt cx="3920705" cy="308173"/>
                </a:xfrm>
              </xdr:grpSpPr>
              <xdr:pic>
                <xdr:nvPicPr>
                  <xdr:cNvPr id="117" name="Picture 116">
                    <a:extLst>
                      <a:ext uri="{FF2B5EF4-FFF2-40B4-BE49-F238E27FC236}">
                        <a16:creationId xmlns:a16="http://schemas.microsoft.com/office/drawing/2014/main" id="{E0D7F691-38C8-92A6-B62B-03FA6BE19F74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"/>
                  <a:srcRect b="53518"/>
                  <a:stretch/>
                </xdr:blipFill>
                <xdr:spPr>
                  <a:xfrm>
                    <a:off x="379205" y="410284"/>
                    <a:ext cx="3726503" cy="30817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8" name="Picture 117">
                    <a:extLst>
                      <a:ext uri="{FF2B5EF4-FFF2-40B4-BE49-F238E27FC236}">
                        <a16:creationId xmlns:a16="http://schemas.microsoft.com/office/drawing/2014/main" id="{F94F308F-E03F-CDAD-35F4-40FC67FC7EC2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"/>
                  <a:stretch>
                    <a:fillRect/>
                  </a:stretch>
                </xdr:blipFill>
                <xdr:spPr>
                  <a:xfrm>
                    <a:off x="3830432" y="428945"/>
                    <a:ext cx="469478" cy="289511"/>
                  </a:xfrm>
                  <a:prstGeom prst="rect">
                    <a:avLst/>
                  </a:prstGeom>
                </xdr:spPr>
              </xdr:pic>
            </xdr:grpSp>
          </xdr:grpSp>
          <xdr:pic>
            <xdr:nvPicPr>
              <xdr:cNvPr id="114" name="Picture 113">
                <a:extLst>
                  <a:ext uri="{FF2B5EF4-FFF2-40B4-BE49-F238E27FC236}">
                    <a16:creationId xmlns:a16="http://schemas.microsoft.com/office/drawing/2014/main" id="{7F86ADD1-E7E3-ECCF-9474-63958941876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/>
              <a:stretch>
                <a:fillRect/>
              </a:stretch>
            </xdr:blipFill>
            <xdr:spPr>
              <a:xfrm>
                <a:off x="1249679" y="3740992"/>
                <a:ext cx="3032760" cy="305457"/>
              </a:xfrm>
              <a:prstGeom prst="rect">
                <a:avLst/>
              </a:prstGeom>
            </xdr:spPr>
          </xdr:pic>
        </xdr:grpSp>
        <xdr:grpSp>
          <xdr:nvGrpSpPr>
            <xdr:cNvPr id="108" name="Group 107">
              <a:extLst>
                <a:ext uri="{FF2B5EF4-FFF2-40B4-BE49-F238E27FC236}">
                  <a16:creationId xmlns:a16="http://schemas.microsoft.com/office/drawing/2014/main" id="{9E820C6A-3D8A-9FE8-0343-577C3B89787F}"/>
                </a:ext>
              </a:extLst>
            </xdr:cNvPr>
            <xdr:cNvGrpSpPr/>
          </xdr:nvGrpSpPr>
          <xdr:grpSpPr>
            <a:xfrm>
              <a:off x="1958340" y="3733801"/>
              <a:ext cx="899160" cy="331309"/>
              <a:chOff x="2080260" y="4053841"/>
              <a:chExt cx="899160" cy="331309"/>
            </a:xfrm>
          </xdr:grpSpPr>
          <xdr:sp macro="" textlink="">
            <xdr:nvSpPr>
              <xdr:cNvPr id="109" name="Rectangle 108">
                <a:extLst>
                  <a:ext uri="{FF2B5EF4-FFF2-40B4-BE49-F238E27FC236}">
                    <a16:creationId xmlns:a16="http://schemas.microsoft.com/office/drawing/2014/main" id="{95B4BE71-E0A3-1C0F-8B5A-8BC076A7CD48}"/>
                  </a:ext>
                </a:extLst>
              </xdr:cNvPr>
              <xdr:cNvSpPr/>
            </xdr:nvSpPr>
            <xdr:spPr>
              <a:xfrm>
                <a:off x="2080260" y="4122420"/>
                <a:ext cx="899160" cy="1752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accent3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10" name="TextBox 133">
                <a:extLst>
                  <a:ext uri="{FF2B5EF4-FFF2-40B4-BE49-F238E27FC236}">
                    <a16:creationId xmlns:a16="http://schemas.microsoft.com/office/drawing/2014/main" id="{1531308D-0375-16AC-7C3F-EFC15765CC06}"/>
                  </a:ext>
                </a:extLst>
              </xdr:cNvPr>
              <xdr:cNvSpPr txBox="1"/>
            </xdr:nvSpPr>
            <xdr:spPr>
              <a:xfrm>
                <a:off x="2141220" y="4053841"/>
                <a:ext cx="739140" cy="331309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400">
                    <a:latin typeface="TH Sarabun New" panose="020B0500040200020003" pitchFamily="34" charset="-34"/>
                    <a:cs typeface="TH Sarabun New" panose="020B0500040200020003" pitchFamily="34" charset="-34"/>
                  </a:rPr>
                  <a:t>F000061</a:t>
                </a:r>
              </a:p>
            </xdr:txBody>
          </xdr:sp>
        </xdr:grpSp>
      </xdr:grpSp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9061362D-D2E6-AAB8-296B-E9D4672D9016}"/>
              </a:ext>
            </a:extLst>
          </xdr:cNvPr>
          <xdr:cNvSpPr txBox="1"/>
        </xdr:nvSpPr>
        <xdr:spPr>
          <a:xfrm>
            <a:off x="1325880" y="5402580"/>
            <a:ext cx="678180" cy="2438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H Sarabun New" panose="020B0500040200020003" pitchFamily="34" charset="-34"/>
                <a:cs typeface="TH Sarabun New" panose="020B0500040200020003" pitchFamily="34" charset="-34"/>
              </a:rPr>
              <a:t>F</a:t>
            </a:r>
            <a:r>
              <a:rPr lang="en-US" sz="1200" b="1" baseline="0">
                <a:latin typeface="TH Sarabun New" panose="020B0500040200020003" pitchFamily="34" charset="-34"/>
                <a:cs typeface="TH Sarabun New" panose="020B0500040200020003" pitchFamily="34" charset="-34"/>
              </a:rPr>
              <a:t> Code</a:t>
            </a:r>
            <a:endParaRPr lang="en-US" sz="1200" b="1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  <xdr:pic>
        <xdr:nvPicPr>
          <xdr:cNvPr id="106" name="Picture 105">
            <a:extLst>
              <a:ext uri="{FF2B5EF4-FFF2-40B4-BE49-F238E27FC236}">
                <a16:creationId xmlns:a16="http://schemas.microsoft.com/office/drawing/2014/main" id="{778A14B6-2171-375B-7668-052CA466DB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964180" y="5425441"/>
            <a:ext cx="346524" cy="201153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175260</xdr:colOff>
      <xdr:row>13</xdr:row>
      <xdr:rowOff>228602</xdr:rowOff>
    </xdr:from>
    <xdr:to>
      <xdr:col>5</xdr:col>
      <xdr:colOff>1043940</xdr:colOff>
      <xdr:row>18</xdr:row>
      <xdr:rowOff>137160</xdr:rowOff>
    </xdr:to>
    <xdr:grpSp>
      <xdr:nvGrpSpPr>
        <xdr:cNvPr id="123" name="Group 122">
          <a:extLst>
            <a:ext uri="{FF2B5EF4-FFF2-40B4-BE49-F238E27FC236}">
              <a16:creationId xmlns:a16="http://schemas.microsoft.com/office/drawing/2014/main" id="{13E97EB1-4358-D05E-4CA7-57E4CED43290}"/>
            </a:ext>
          </a:extLst>
        </xdr:cNvPr>
        <xdr:cNvGrpSpPr/>
      </xdr:nvGrpSpPr>
      <xdr:grpSpPr>
        <a:xfrm>
          <a:off x="3737610" y="3381377"/>
          <a:ext cx="3021330" cy="1165858"/>
          <a:chOff x="4084320" y="3756662"/>
          <a:chExt cx="3078480" cy="1249678"/>
        </a:xfrm>
      </xdr:grpSpPr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01D6AB35-22ED-5726-0F4B-C8881D849DCF}"/>
              </a:ext>
            </a:extLst>
          </xdr:cNvPr>
          <xdr:cNvGrpSpPr/>
        </xdr:nvGrpSpPr>
        <xdr:grpSpPr>
          <a:xfrm>
            <a:off x="4084320" y="3756662"/>
            <a:ext cx="3078480" cy="1249678"/>
            <a:chOff x="4099560" y="3284222"/>
            <a:chExt cx="3078480" cy="1249678"/>
          </a:xfrm>
        </xdr:grpSpPr>
        <xdr:grpSp>
          <xdr:nvGrpSpPr>
            <xdr:cNvPr id="12" name="Group 11">
              <a:extLst>
                <a:ext uri="{FF2B5EF4-FFF2-40B4-BE49-F238E27FC236}">
                  <a16:creationId xmlns:a16="http://schemas.microsoft.com/office/drawing/2014/main" id="{8703B671-C3EF-449E-8CAD-F78ED88D27CF}"/>
                </a:ext>
              </a:extLst>
            </xdr:cNvPr>
            <xdr:cNvGrpSpPr/>
          </xdr:nvGrpSpPr>
          <xdr:grpSpPr>
            <a:xfrm>
              <a:off x="4099560" y="3284222"/>
              <a:ext cx="3078480" cy="1249678"/>
              <a:chOff x="4008120" y="3467102"/>
              <a:chExt cx="3078480" cy="1249678"/>
            </a:xfrm>
          </xdr:grpSpPr>
          <xdr:grpSp>
            <xdr:nvGrpSpPr>
              <xdr:cNvPr id="13" name="Group 12">
                <a:extLst>
                  <a:ext uri="{FF2B5EF4-FFF2-40B4-BE49-F238E27FC236}">
                    <a16:creationId xmlns:a16="http://schemas.microsoft.com/office/drawing/2014/main" id="{3DB8269C-D2B5-7D51-70D8-3AB088BB7A20}"/>
                  </a:ext>
                </a:extLst>
              </xdr:cNvPr>
              <xdr:cNvGrpSpPr/>
            </xdr:nvGrpSpPr>
            <xdr:grpSpPr>
              <a:xfrm>
                <a:off x="4008120" y="3467102"/>
                <a:ext cx="3078480" cy="1249678"/>
                <a:chOff x="388620" y="3368041"/>
                <a:chExt cx="4170784" cy="1798603"/>
              </a:xfrm>
            </xdr:grpSpPr>
            <xdr:grpSp>
              <xdr:nvGrpSpPr>
                <xdr:cNvPr id="15" name="Group 14">
                  <a:extLst>
                    <a:ext uri="{FF2B5EF4-FFF2-40B4-BE49-F238E27FC236}">
                      <a16:creationId xmlns:a16="http://schemas.microsoft.com/office/drawing/2014/main" id="{E41813E5-80D3-09E0-F754-0F828B50EEB1}"/>
                    </a:ext>
                  </a:extLst>
                </xdr:cNvPr>
                <xdr:cNvGrpSpPr/>
              </xdr:nvGrpSpPr>
              <xdr:grpSpPr>
                <a:xfrm>
                  <a:off x="388620" y="3368041"/>
                  <a:ext cx="4170784" cy="1798603"/>
                  <a:chOff x="270587" y="301741"/>
                  <a:chExt cx="4170784" cy="1798603"/>
                </a:xfrm>
              </xdr:grpSpPr>
              <xdr:sp macro="" textlink="">
                <xdr:nvSpPr>
                  <xdr:cNvPr id="17" name="Rectangle: Rounded Corners 16">
                    <a:extLst>
                      <a:ext uri="{FF2B5EF4-FFF2-40B4-BE49-F238E27FC236}">
                        <a16:creationId xmlns:a16="http://schemas.microsoft.com/office/drawing/2014/main" id="{5E3FB126-AF77-BCA8-951C-E534289A8745}"/>
                      </a:ext>
                    </a:extLst>
                  </xdr:cNvPr>
                  <xdr:cNvSpPr/>
                </xdr:nvSpPr>
                <xdr:spPr>
                  <a:xfrm>
                    <a:off x="270587" y="301741"/>
                    <a:ext cx="4170784" cy="1798603"/>
                  </a:xfrm>
                  <a:prstGeom prst="roundRect">
                    <a:avLst>
                      <a:gd name="adj" fmla="val 7521"/>
                    </a:avLst>
                  </a:prstGeom>
                  <a:solidFill>
                    <a:schemeClr val="bg1"/>
                  </a:solidFill>
                  <a:ln>
                    <a:solidFill>
                      <a:schemeClr val="accent6">
                        <a:lumMod val="75000"/>
                      </a:schemeClr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US"/>
                  </a:p>
                </xdr:txBody>
              </xdr:sp>
              <xdr:grpSp>
                <xdr:nvGrpSpPr>
                  <xdr:cNvPr id="18" name="Group 17">
                    <a:extLst>
                      <a:ext uri="{FF2B5EF4-FFF2-40B4-BE49-F238E27FC236}">
                        <a16:creationId xmlns:a16="http://schemas.microsoft.com/office/drawing/2014/main" id="{39762792-1426-6065-8ABA-F6947CEA0ED4}"/>
                      </a:ext>
                    </a:extLst>
                  </xdr:cNvPr>
                  <xdr:cNvGrpSpPr/>
                </xdr:nvGrpSpPr>
                <xdr:grpSpPr>
                  <a:xfrm>
                    <a:off x="379205" y="410284"/>
                    <a:ext cx="3920705" cy="308173"/>
                    <a:chOff x="379205" y="410284"/>
                    <a:chExt cx="3920705" cy="308173"/>
                  </a:xfrm>
                </xdr:grpSpPr>
                <xdr:pic>
                  <xdr:nvPicPr>
                    <xdr:cNvPr id="19" name="Picture 18">
                      <a:extLst>
                        <a:ext uri="{FF2B5EF4-FFF2-40B4-BE49-F238E27FC236}">
                          <a16:creationId xmlns:a16="http://schemas.microsoft.com/office/drawing/2014/main" id="{101792C8-E006-2ACC-B5FC-10F67CC42293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 rotWithShape="1">
                    <a:blip xmlns:r="http://schemas.openxmlformats.org/officeDocument/2006/relationships" r:embed="rId1"/>
                    <a:srcRect b="53518"/>
                    <a:stretch/>
                  </xdr:blipFill>
                  <xdr:spPr>
                    <a:xfrm>
                      <a:off x="379205" y="410284"/>
                      <a:ext cx="3726503" cy="308173"/>
                    </a:xfrm>
                    <a:prstGeom prst="rect">
                      <a:avLst/>
                    </a:prstGeom>
                  </xdr:spPr>
                </xdr:pic>
                <xdr:pic>
                  <xdr:nvPicPr>
                    <xdr:cNvPr id="20" name="Picture 19">
                      <a:extLst>
                        <a:ext uri="{FF2B5EF4-FFF2-40B4-BE49-F238E27FC236}">
                          <a16:creationId xmlns:a16="http://schemas.microsoft.com/office/drawing/2014/main" id="{2063A87C-DC0F-08F1-4E9B-FA7DB4649635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2"/>
                    <a:stretch>
                      <a:fillRect/>
                    </a:stretch>
                  </xdr:blipFill>
                  <xdr:spPr>
                    <a:xfrm>
                      <a:off x="3830432" y="428945"/>
                      <a:ext cx="469478" cy="289511"/>
                    </a:xfrm>
                    <a:prstGeom prst="rect">
                      <a:avLst/>
                    </a:prstGeom>
                  </xdr:spPr>
                </xdr:pic>
              </xdr:grpSp>
            </xdr:grpSp>
            <xdr:pic>
              <xdr:nvPicPr>
                <xdr:cNvPr id="16" name="Picture 15">
                  <a:extLst>
                    <a:ext uri="{FF2B5EF4-FFF2-40B4-BE49-F238E27FC236}">
                      <a16:creationId xmlns:a16="http://schemas.microsoft.com/office/drawing/2014/main" id="{30F8615F-CA2E-CE8B-4345-98D13A40B5D4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4"/>
                <a:stretch>
                  <a:fillRect/>
                </a:stretch>
              </xdr:blipFill>
              <xdr:spPr>
                <a:xfrm>
                  <a:off x="2651759" y="3505201"/>
                  <a:ext cx="1280743" cy="289559"/>
                </a:xfrm>
                <a:prstGeom prst="rect">
                  <a:avLst/>
                </a:prstGeom>
              </xdr:spPr>
            </xdr:pic>
          </xdr:grpSp>
          <xdr:pic>
            <xdr:nvPicPr>
              <xdr:cNvPr id="14" name="Picture 13">
                <a:extLst>
                  <a:ext uri="{FF2B5EF4-FFF2-40B4-BE49-F238E27FC236}">
                    <a16:creationId xmlns:a16="http://schemas.microsoft.com/office/drawing/2014/main" id="{7E231C62-D4BE-A436-A3B9-22703983666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7"/>
              <a:stretch>
                <a:fillRect/>
              </a:stretch>
            </xdr:blipFill>
            <xdr:spPr>
              <a:xfrm>
                <a:off x="4724400" y="3771900"/>
                <a:ext cx="2171888" cy="205758"/>
              </a:xfrm>
              <a:prstGeom prst="rect">
                <a:avLst/>
              </a:prstGeom>
            </xdr:spPr>
          </xdr:pic>
        </xdr:grpSp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A41817E2-A5A7-46EB-8E25-382ABFC4B2F5}"/>
                </a:ext>
              </a:extLst>
            </xdr:cNvPr>
            <xdr:cNvSpPr txBox="1"/>
          </xdr:nvSpPr>
          <xdr:spPr>
            <a:xfrm>
              <a:off x="5090160" y="3771900"/>
              <a:ext cx="678180" cy="24384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 b="1">
                  <a:latin typeface="TH Sarabun New" panose="020B0500040200020003" pitchFamily="34" charset="-34"/>
                  <a:cs typeface="TH Sarabun New" panose="020B0500040200020003" pitchFamily="34" charset="-34"/>
                </a:rPr>
                <a:t>F</a:t>
              </a:r>
              <a:r>
                <a:rPr lang="en-US" sz="1200" b="1" baseline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Code</a:t>
              </a:r>
              <a:endParaRPr lang="en-US" sz="12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  <xdr:pic>
          <xdr:nvPicPr>
            <xdr:cNvPr id="75" name="Picture 74">
              <a:extLst>
                <a:ext uri="{FF2B5EF4-FFF2-40B4-BE49-F238E27FC236}">
                  <a16:creationId xmlns:a16="http://schemas.microsoft.com/office/drawing/2014/main" id="{789AB4FC-B33F-4F76-A567-59D71F1A54A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728460" y="3825241"/>
              <a:ext cx="346524" cy="201153"/>
            </a:xfrm>
            <a:prstGeom prst="rect">
              <a:avLst/>
            </a:prstGeom>
          </xdr:spPr>
        </xdr:pic>
        <xdr:grpSp>
          <xdr:nvGrpSpPr>
            <xdr:cNvPr id="76" name="Group 75">
              <a:extLst>
                <a:ext uri="{FF2B5EF4-FFF2-40B4-BE49-F238E27FC236}">
                  <a16:creationId xmlns:a16="http://schemas.microsoft.com/office/drawing/2014/main" id="{B77644A1-A214-41A9-B1B4-DF85E04E7F1D}"/>
                </a:ext>
              </a:extLst>
            </xdr:cNvPr>
            <xdr:cNvGrpSpPr/>
          </xdr:nvGrpSpPr>
          <xdr:grpSpPr>
            <a:xfrm>
              <a:off x="5806440" y="3764281"/>
              <a:ext cx="899160" cy="331309"/>
              <a:chOff x="2080260" y="4297681"/>
              <a:chExt cx="899160" cy="331309"/>
            </a:xfrm>
          </xdr:grpSpPr>
          <xdr:sp macro="" textlink="">
            <xdr:nvSpPr>
              <xdr:cNvPr id="77" name="Rectangle 76">
                <a:extLst>
                  <a:ext uri="{FF2B5EF4-FFF2-40B4-BE49-F238E27FC236}">
                    <a16:creationId xmlns:a16="http://schemas.microsoft.com/office/drawing/2014/main" id="{3E6CBD33-79A1-BDDF-D97A-E8A88228F7CC}"/>
                  </a:ext>
                </a:extLst>
              </xdr:cNvPr>
              <xdr:cNvSpPr/>
            </xdr:nvSpPr>
            <xdr:spPr>
              <a:xfrm>
                <a:off x="2080260" y="4366260"/>
                <a:ext cx="899160" cy="1752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accent3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78" name="TextBox 133">
                <a:extLst>
                  <a:ext uri="{FF2B5EF4-FFF2-40B4-BE49-F238E27FC236}">
                    <a16:creationId xmlns:a16="http://schemas.microsoft.com/office/drawing/2014/main" id="{206C3774-E742-C7A2-F70A-1FD00CF7E15E}"/>
                  </a:ext>
                </a:extLst>
              </xdr:cNvPr>
              <xdr:cNvSpPr txBox="1"/>
            </xdr:nvSpPr>
            <xdr:spPr>
              <a:xfrm>
                <a:off x="2141220" y="4297681"/>
                <a:ext cx="739140" cy="331309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400">
                    <a:latin typeface="TH Sarabun New" panose="020B0500040200020003" pitchFamily="34" charset="-34"/>
                    <a:cs typeface="TH Sarabun New" panose="020B0500040200020003" pitchFamily="34" charset="-34"/>
                  </a:rPr>
                  <a:t>F000048</a:t>
                </a:r>
              </a:p>
            </xdr:txBody>
          </xdr:sp>
        </xdr:grpSp>
        <xdr:pic>
          <xdr:nvPicPr>
            <xdr:cNvPr id="79" name="Picture 78">
              <a:extLst>
                <a:ext uri="{FF2B5EF4-FFF2-40B4-BE49-F238E27FC236}">
                  <a16:creationId xmlns:a16="http://schemas.microsoft.com/office/drawing/2014/main" id="{F7E6C7BC-F72E-400A-8FAD-E76255CC0C2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728460" y="4046221"/>
              <a:ext cx="332646" cy="176767"/>
            </a:xfrm>
            <a:prstGeom prst="rect">
              <a:avLst/>
            </a:prstGeom>
          </xdr:spPr>
        </xdr:pic>
        <xdr:sp macro="" textlink="">
          <xdr:nvSpPr>
            <xdr:cNvPr id="80" name="Rectangle 79">
              <a:extLst>
                <a:ext uri="{FF2B5EF4-FFF2-40B4-BE49-F238E27FC236}">
                  <a16:creationId xmlns:a16="http://schemas.microsoft.com/office/drawing/2014/main" id="{174EAD60-732D-4EEB-9CD3-E3F13161A283}"/>
                </a:ext>
              </a:extLst>
            </xdr:cNvPr>
            <xdr:cNvSpPr/>
          </xdr:nvSpPr>
          <xdr:spPr>
            <a:xfrm>
              <a:off x="5806440" y="4046221"/>
              <a:ext cx="899160" cy="17526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accent3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3" name="TextBox 133">
              <a:extLst>
                <a:ext uri="{FF2B5EF4-FFF2-40B4-BE49-F238E27FC236}">
                  <a16:creationId xmlns:a16="http://schemas.microsoft.com/office/drawing/2014/main" id="{B83E57AC-A688-4FBE-B7C8-EAA85BB4DCCD}"/>
                </a:ext>
              </a:extLst>
            </xdr:cNvPr>
            <xdr:cNvSpPr txBox="1"/>
          </xdr:nvSpPr>
          <xdr:spPr>
            <a:xfrm>
              <a:off x="5875020" y="3977641"/>
              <a:ext cx="739140" cy="331309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400">
                  <a:latin typeface="TH Sarabun New" panose="020B0500040200020003" pitchFamily="34" charset="-34"/>
                  <a:cs typeface="TH Sarabun New" panose="020B0500040200020003" pitchFamily="34" charset="-34"/>
                </a:rPr>
                <a:t>F000053</a:t>
              </a:r>
            </a:p>
          </xdr:txBody>
        </xdr:sp>
      </xdr:grpSp>
      <xdr:pic>
        <xdr:nvPicPr>
          <xdr:cNvPr id="120" name="Picture 119">
            <a:extLst>
              <a:ext uri="{FF2B5EF4-FFF2-40B4-BE49-F238E27FC236}">
                <a16:creationId xmlns:a16="http://schemas.microsoft.com/office/drawing/2014/main" id="{FBA1F807-2262-474A-B509-85596F6CDF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720840" y="4724402"/>
            <a:ext cx="332646" cy="176767"/>
          </a:xfrm>
          <a:prstGeom prst="rect">
            <a:avLst/>
          </a:prstGeom>
        </xdr:spPr>
      </xdr:pic>
      <xdr:sp macro="" textlink="">
        <xdr:nvSpPr>
          <xdr:cNvPr id="121" name="Rectangle 120">
            <a:extLst>
              <a:ext uri="{FF2B5EF4-FFF2-40B4-BE49-F238E27FC236}">
                <a16:creationId xmlns:a16="http://schemas.microsoft.com/office/drawing/2014/main" id="{E886066F-76C8-4E3B-B7E3-F0632870645D}"/>
              </a:ext>
            </a:extLst>
          </xdr:cNvPr>
          <xdr:cNvSpPr/>
        </xdr:nvSpPr>
        <xdr:spPr>
          <a:xfrm>
            <a:off x="5791200" y="4732022"/>
            <a:ext cx="899160" cy="175260"/>
          </a:xfrm>
          <a:prstGeom prst="rect">
            <a:avLst/>
          </a:prstGeom>
          <a:solidFill>
            <a:schemeClr val="bg1"/>
          </a:solidFill>
          <a:ln>
            <a:solidFill>
              <a:schemeClr val="accent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2" name="TextBox 133">
            <a:extLst>
              <a:ext uri="{FF2B5EF4-FFF2-40B4-BE49-F238E27FC236}">
                <a16:creationId xmlns:a16="http://schemas.microsoft.com/office/drawing/2014/main" id="{1C85C1E5-200D-40C4-9E60-A3793D645399}"/>
              </a:ext>
            </a:extLst>
          </xdr:cNvPr>
          <xdr:cNvSpPr txBox="1"/>
        </xdr:nvSpPr>
        <xdr:spPr>
          <a:xfrm>
            <a:off x="5859780" y="4663442"/>
            <a:ext cx="739140" cy="331309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400">
                <a:latin typeface="TH Sarabun New" panose="020B0500040200020003" pitchFamily="34" charset="-34"/>
                <a:cs typeface="TH Sarabun New" panose="020B0500040200020003" pitchFamily="34" charset="-34"/>
              </a:rPr>
              <a:t>F000062</a:t>
            </a:r>
          </a:p>
        </xdr:txBody>
      </xdr:sp>
    </xdr:grpSp>
    <xdr:clientData/>
  </xdr:twoCellAnchor>
  <xdr:twoCellAnchor>
    <xdr:from>
      <xdr:col>0</xdr:col>
      <xdr:colOff>220980</xdr:colOff>
      <xdr:row>18</xdr:row>
      <xdr:rowOff>160023</xdr:rowOff>
    </xdr:from>
    <xdr:to>
      <xdr:col>2</xdr:col>
      <xdr:colOff>1089660</xdr:colOff>
      <xdr:row>22</xdr:row>
      <xdr:rowOff>167643</xdr:rowOff>
    </xdr:to>
    <xdr:grpSp>
      <xdr:nvGrpSpPr>
        <xdr:cNvPr id="131" name="Group 130">
          <a:extLst>
            <a:ext uri="{FF2B5EF4-FFF2-40B4-BE49-F238E27FC236}">
              <a16:creationId xmlns:a16="http://schemas.microsoft.com/office/drawing/2014/main" id="{5FFC4AEF-FB99-A206-E127-C3832C9660BF}"/>
            </a:ext>
          </a:extLst>
        </xdr:cNvPr>
        <xdr:cNvGrpSpPr/>
      </xdr:nvGrpSpPr>
      <xdr:grpSpPr>
        <a:xfrm>
          <a:off x="220980" y="4570098"/>
          <a:ext cx="3021330" cy="931545"/>
          <a:chOff x="213360" y="5082543"/>
          <a:chExt cx="3078480" cy="1074420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9A32F17-B060-4BB8-B2C8-248BF04CE1D6}"/>
              </a:ext>
            </a:extLst>
          </xdr:cNvPr>
          <xdr:cNvGrpSpPr/>
        </xdr:nvGrpSpPr>
        <xdr:grpSpPr>
          <a:xfrm>
            <a:off x="213360" y="5082543"/>
            <a:ext cx="3078480" cy="1074420"/>
            <a:chOff x="1120140" y="4564380"/>
            <a:chExt cx="3078480" cy="1088194"/>
          </a:xfrm>
        </xdr:grpSpPr>
        <xdr:grpSp>
          <xdr:nvGrpSpPr>
            <xdr:cNvPr id="31" name="Group 30">
              <a:extLst>
                <a:ext uri="{FF2B5EF4-FFF2-40B4-BE49-F238E27FC236}">
                  <a16:creationId xmlns:a16="http://schemas.microsoft.com/office/drawing/2014/main" id="{1BE41DCE-F8F8-9145-EDC9-724AD2A949A9}"/>
                </a:ext>
              </a:extLst>
            </xdr:cNvPr>
            <xdr:cNvGrpSpPr/>
          </xdr:nvGrpSpPr>
          <xdr:grpSpPr>
            <a:xfrm>
              <a:off x="1120140" y="4564380"/>
              <a:ext cx="3078480" cy="1088194"/>
              <a:chOff x="388620" y="3368042"/>
              <a:chExt cx="4170784" cy="1566187"/>
            </a:xfrm>
          </xdr:grpSpPr>
          <xdr:grpSp>
            <xdr:nvGrpSpPr>
              <xdr:cNvPr id="33" name="Group 32">
                <a:extLst>
                  <a:ext uri="{FF2B5EF4-FFF2-40B4-BE49-F238E27FC236}">
                    <a16:creationId xmlns:a16="http://schemas.microsoft.com/office/drawing/2014/main" id="{BCF71565-E49D-3663-E9BA-0F2CC0F6BB16}"/>
                  </a:ext>
                </a:extLst>
              </xdr:cNvPr>
              <xdr:cNvGrpSpPr/>
            </xdr:nvGrpSpPr>
            <xdr:grpSpPr>
              <a:xfrm>
                <a:off x="388620" y="3368042"/>
                <a:ext cx="4170784" cy="1566187"/>
                <a:chOff x="270587" y="301742"/>
                <a:chExt cx="4170784" cy="1566187"/>
              </a:xfrm>
            </xdr:grpSpPr>
            <xdr:sp macro="" textlink="">
              <xdr:nvSpPr>
                <xdr:cNvPr id="35" name="Rectangle: Rounded Corners 34">
                  <a:extLst>
                    <a:ext uri="{FF2B5EF4-FFF2-40B4-BE49-F238E27FC236}">
                      <a16:creationId xmlns:a16="http://schemas.microsoft.com/office/drawing/2014/main" id="{B17EE9F3-A4E4-2EFB-628A-D5ED60316588}"/>
                    </a:ext>
                  </a:extLst>
                </xdr:cNvPr>
                <xdr:cNvSpPr/>
              </xdr:nvSpPr>
              <xdr:spPr>
                <a:xfrm>
                  <a:off x="270587" y="301742"/>
                  <a:ext cx="4170784" cy="1566187"/>
                </a:xfrm>
                <a:prstGeom prst="roundRect">
                  <a:avLst>
                    <a:gd name="adj" fmla="val 7521"/>
                  </a:avLst>
                </a:prstGeom>
                <a:solidFill>
                  <a:schemeClr val="bg1"/>
                </a:solidFill>
                <a:ln>
                  <a:solidFill>
                    <a:schemeClr val="accent4">
                      <a:lumMod val="60000"/>
                      <a:lumOff val="40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  <xdr:grpSp>
              <xdr:nvGrpSpPr>
                <xdr:cNvPr id="36" name="Group 35">
                  <a:extLst>
                    <a:ext uri="{FF2B5EF4-FFF2-40B4-BE49-F238E27FC236}">
                      <a16:creationId xmlns:a16="http://schemas.microsoft.com/office/drawing/2014/main" id="{B0A94EA0-F0BB-FEDB-DEB0-73B7BBDC33C3}"/>
                    </a:ext>
                  </a:extLst>
                </xdr:cNvPr>
                <xdr:cNvGrpSpPr/>
              </xdr:nvGrpSpPr>
              <xdr:grpSpPr>
                <a:xfrm>
                  <a:off x="379205" y="410284"/>
                  <a:ext cx="3920705" cy="308173"/>
                  <a:chOff x="379205" y="410284"/>
                  <a:chExt cx="3920705" cy="308173"/>
                </a:xfrm>
              </xdr:grpSpPr>
              <xdr:pic>
                <xdr:nvPicPr>
                  <xdr:cNvPr id="37" name="Picture 36">
                    <a:extLst>
                      <a:ext uri="{FF2B5EF4-FFF2-40B4-BE49-F238E27FC236}">
                        <a16:creationId xmlns:a16="http://schemas.microsoft.com/office/drawing/2014/main" id="{D87818FA-E62B-E1FD-A60E-204AEEE517F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"/>
                  <a:srcRect b="53518"/>
                  <a:stretch/>
                </xdr:blipFill>
                <xdr:spPr>
                  <a:xfrm>
                    <a:off x="379205" y="410284"/>
                    <a:ext cx="3726503" cy="308173"/>
                  </a:xfrm>
                  <a:prstGeom prst="rect">
                    <a:avLst/>
                  </a:prstGeom>
                </xdr:spPr>
              </xdr:pic>
              <xdr:pic>
                <xdr:nvPicPr>
                  <xdr:cNvPr id="38" name="Picture 37">
                    <a:extLst>
                      <a:ext uri="{FF2B5EF4-FFF2-40B4-BE49-F238E27FC236}">
                        <a16:creationId xmlns:a16="http://schemas.microsoft.com/office/drawing/2014/main" id="{EB34E569-3809-8E51-D7A7-97F2D3329FD2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"/>
                  <a:stretch>
                    <a:fillRect/>
                  </a:stretch>
                </xdr:blipFill>
                <xdr:spPr>
                  <a:xfrm>
                    <a:off x="3830432" y="428945"/>
                    <a:ext cx="469478" cy="289511"/>
                  </a:xfrm>
                  <a:prstGeom prst="rect">
                    <a:avLst/>
                  </a:prstGeom>
                </xdr:spPr>
              </xdr:pic>
            </xdr:grpSp>
          </xdr:grpSp>
          <xdr:pic>
            <xdr:nvPicPr>
              <xdr:cNvPr id="34" name="Picture 33">
                <a:extLst>
                  <a:ext uri="{FF2B5EF4-FFF2-40B4-BE49-F238E27FC236}">
                    <a16:creationId xmlns:a16="http://schemas.microsoft.com/office/drawing/2014/main" id="{B66A146E-8408-C825-48E5-B30FF2718E2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2651759" y="3505201"/>
                <a:ext cx="1280743" cy="289559"/>
              </a:xfrm>
              <a:prstGeom prst="rect">
                <a:avLst/>
              </a:prstGeom>
            </xdr:spPr>
          </xdr:pic>
        </xdr:grpSp>
        <xdr:pic>
          <xdr:nvPicPr>
            <xdr:cNvPr id="32" name="Picture 31">
              <a:extLst>
                <a:ext uri="{FF2B5EF4-FFF2-40B4-BE49-F238E27FC236}">
                  <a16:creationId xmlns:a16="http://schemas.microsoft.com/office/drawing/2014/main" id="{391D077B-835D-FB13-F585-D957E33D3EA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752600" y="4869180"/>
              <a:ext cx="2238498" cy="212233"/>
            </a:xfrm>
            <a:prstGeom prst="rect">
              <a:avLst/>
            </a:prstGeom>
          </xdr:spPr>
        </xdr:pic>
      </xdr:grp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09FBE4C9-625B-4F6D-9F2B-359471F94877}"/>
              </a:ext>
            </a:extLst>
          </xdr:cNvPr>
          <xdr:cNvSpPr txBox="1"/>
        </xdr:nvSpPr>
        <xdr:spPr>
          <a:xfrm>
            <a:off x="1188720" y="5577841"/>
            <a:ext cx="678180" cy="2438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H Sarabun New" panose="020B0500040200020003" pitchFamily="34" charset="-34"/>
                <a:cs typeface="TH Sarabun New" panose="020B0500040200020003" pitchFamily="34" charset="-34"/>
              </a:rPr>
              <a:t>F</a:t>
            </a:r>
            <a:r>
              <a:rPr lang="en-US" sz="1200" b="1" baseline="0">
                <a:latin typeface="TH Sarabun New" panose="020B0500040200020003" pitchFamily="34" charset="-34"/>
                <a:cs typeface="TH Sarabun New" panose="020B0500040200020003" pitchFamily="34" charset="-34"/>
              </a:rPr>
              <a:t> Code</a:t>
            </a:r>
            <a:endParaRPr lang="en-US" sz="1200" b="1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  <xdr:pic>
        <xdr:nvPicPr>
          <xdr:cNvPr id="125" name="Picture 124">
            <a:extLst>
              <a:ext uri="{FF2B5EF4-FFF2-40B4-BE49-F238E27FC236}">
                <a16:creationId xmlns:a16="http://schemas.microsoft.com/office/drawing/2014/main" id="{163AFD1D-F820-49FD-8A60-DE283F3123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27020" y="5631182"/>
            <a:ext cx="346524" cy="201153"/>
          </a:xfrm>
          <a:prstGeom prst="rect">
            <a:avLst/>
          </a:prstGeom>
        </xdr:spPr>
      </xdr:pic>
      <xdr:sp macro="" textlink="">
        <xdr:nvSpPr>
          <xdr:cNvPr id="126" name="Rectangle 125">
            <a:extLst>
              <a:ext uri="{FF2B5EF4-FFF2-40B4-BE49-F238E27FC236}">
                <a16:creationId xmlns:a16="http://schemas.microsoft.com/office/drawing/2014/main" id="{05F50094-D075-4C76-B751-062830C44073}"/>
              </a:ext>
            </a:extLst>
          </xdr:cNvPr>
          <xdr:cNvSpPr/>
        </xdr:nvSpPr>
        <xdr:spPr>
          <a:xfrm>
            <a:off x="1905000" y="5638801"/>
            <a:ext cx="899160" cy="175260"/>
          </a:xfrm>
          <a:prstGeom prst="rect">
            <a:avLst/>
          </a:prstGeom>
          <a:solidFill>
            <a:schemeClr val="bg1"/>
          </a:solidFill>
          <a:ln>
            <a:solidFill>
              <a:schemeClr val="accent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7" name="TextBox 133">
            <a:extLst>
              <a:ext uri="{FF2B5EF4-FFF2-40B4-BE49-F238E27FC236}">
                <a16:creationId xmlns:a16="http://schemas.microsoft.com/office/drawing/2014/main" id="{5802B0D0-DC68-4E87-81E2-AD92ECDCB3BA}"/>
              </a:ext>
            </a:extLst>
          </xdr:cNvPr>
          <xdr:cNvSpPr txBox="1"/>
        </xdr:nvSpPr>
        <xdr:spPr>
          <a:xfrm>
            <a:off x="1965960" y="5570222"/>
            <a:ext cx="739140" cy="331309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400">
                <a:latin typeface="TH Sarabun New" panose="020B0500040200020003" pitchFamily="34" charset="-34"/>
                <a:cs typeface="TH Sarabun New" panose="020B0500040200020003" pitchFamily="34" charset="-34"/>
              </a:rPr>
              <a:t>F000053</a:t>
            </a:r>
          </a:p>
        </xdr:txBody>
      </xdr:sp>
      <xdr:pic>
        <xdr:nvPicPr>
          <xdr:cNvPr id="128" name="Picture 127">
            <a:extLst>
              <a:ext uri="{FF2B5EF4-FFF2-40B4-BE49-F238E27FC236}">
                <a16:creationId xmlns:a16="http://schemas.microsoft.com/office/drawing/2014/main" id="{6EF50224-2C9E-42A8-9A57-45231BB6BD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827020" y="5852162"/>
            <a:ext cx="332646" cy="176767"/>
          </a:xfrm>
          <a:prstGeom prst="rect">
            <a:avLst/>
          </a:prstGeom>
        </xdr:spPr>
      </xdr:pic>
      <xdr:sp macro="" textlink="">
        <xdr:nvSpPr>
          <xdr:cNvPr id="129" name="Rectangle 128">
            <a:extLst>
              <a:ext uri="{FF2B5EF4-FFF2-40B4-BE49-F238E27FC236}">
                <a16:creationId xmlns:a16="http://schemas.microsoft.com/office/drawing/2014/main" id="{201142FC-ED25-4AD2-9E0F-C61205852BA6}"/>
              </a:ext>
            </a:extLst>
          </xdr:cNvPr>
          <xdr:cNvSpPr/>
        </xdr:nvSpPr>
        <xdr:spPr>
          <a:xfrm>
            <a:off x="1905000" y="5852162"/>
            <a:ext cx="899160" cy="175260"/>
          </a:xfrm>
          <a:prstGeom prst="rect">
            <a:avLst/>
          </a:prstGeom>
          <a:solidFill>
            <a:schemeClr val="bg1"/>
          </a:solidFill>
          <a:ln>
            <a:solidFill>
              <a:schemeClr val="accent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0" name="TextBox 133">
            <a:extLst>
              <a:ext uri="{FF2B5EF4-FFF2-40B4-BE49-F238E27FC236}">
                <a16:creationId xmlns:a16="http://schemas.microsoft.com/office/drawing/2014/main" id="{5D3744F5-569F-492D-A68D-886AE7773137}"/>
              </a:ext>
            </a:extLst>
          </xdr:cNvPr>
          <xdr:cNvSpPr txBox="1"/>
        </xdr:nvSpPr>
        <xdr:spPr>
          <a:xfrm>
            <a:off x="1973580" y="5783582"/>
            <a:ext cx="739140" cy="331309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400">
                <a:latin typeface="TH Sarabun New" panose="020B0500040200020003" pitchFamily="34" charset="-34"/>
                <a:cs typeface="TH Sarabun New" panose="020B0500040200020003" pitchFamily="34" charset="-34"/>
              </a:rPr>
              <a:t>F000062</a:t>
            </a:r>
          </a:p>
        </xdr:txBody>
      </xdr:sp>
    </xdr:grpSp>
    <xdr:clientData/>
  </xdr:twoCellAnchor>
  <xdr:twoCellAnchor>
    <xdr:from>
      <xdr:col>3</xdr:col>
      <xdr:colOff>160020</xdr:colOff>
      <xdr:row>18</xdr:row>
      <xdr:rowOff>243840</xdr:rowOff>
    </xdr:from>
    <xdr:to>
      <xdr:col>5</xdr:col>
      <xdr:colOff>1028700</xdr:colOff>
      <xdr:row>22</xdr:row>
      <xdr:rowOff>266699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466DD430-7F38-02FB-C6A1-F301EA5F8D66}"/>
            </a:ext>
          </a:extLst>
        </xdr:cNvPr>
        <xdr:cNvGrpSpPr/>
      </xdr:nvGrpSpPr>
      <xdr:grpSpPr>
        <a:xfrm>
          <a:off x="3722370" y="4634865"/>
          <a:ext cx="3021330" cy="937259"/>
          <a:chOff x="4069080" y="5113020"/>
          <a:chExt cx="3078480" cy="1089659"/>
        </a:xfrm>
      </xdr:grpSpPr>
      <xdr:grpSp>
        <xdr:nvGrpSpPr>
          <xdr:cNvPr id="133" name="Group 132">
            <a:extLst>
              <a:ext uri="{FF2B5EF4-FFF2-40B4-BE49-F238E27FC236}">
                <a16:creationId xmlns:a16="http://schemas.microsoft.com/office/drawing/2014/main" id="{830B272B-B14E-6664-36CA-9CE4F3974C03}"/>
              </a:ext>
            </a:extLst>
          </xdr:cNvPr>
          <xdr:cNvGrpSpPr/>
        </xdr:nvGrpSpPr>
        <xdr:grpSpPr>
          <a:xfrm>
            <a:off x="4069080" y="5113020"/>
            <a:ext cx="3078480" cy="1089659"/>
            <a:chOff x="4069080" y="5113020"/>
            <a:chExt cx="3078480" cy="1089659"/>
          </a:xfrm>
        </xdr:grpSpPr>
        <xdr:grpSp>
          <xdr:nvGrpSpPr>
            <xdr:cNvPr id="85" name="Group 84">
              <a:extLst>
                <a:ext uri="{FF2B5EF4-FFF2-40B4-BE49-F238E27FC236}">
                  <a16:creationId xmlns:a16="http://schemas.microsoft.com/office/drawing/2014/main" id="{57EA0BEF-D369-4B4C-9C08-A42CFECC55FA}"/>
                </a:ext>
              </a:extLst>
            </xdr:cNvPr>
            <xdr:cNvGrpSpPr/>
          </xdr:nvGrpSpPr>
          <xdr:grpSpPr>
            <a:xfrm>
              <a:off x="4069080" y="5113020"/>
              <a:ext cx="3078480" cy="1089659"/>
              <a:chOff x="4099560" y="3284222"/>
              <a:chExt cx="3078480" cy="1089659"/>
            </a:xfrm>
          </xdr:grpSpPr>
          <xdr:grpSp>
            <xdr:nvGrpSpPr>
              <xdr:cNvPr id="97" name="Group 96">
                <a:extLst>
                  <a:ext uri="{FF2B5EF4-FFF2-40B4-BE49-F238E27FC236}">
                    <a16:creationId xmlns:a16="http://schemas.microsoft.com/office/drawing/2014/main" id="{480797B0-A80D-443F-E88B-A32C7D249665}"/>
                  </a:ext>
                </a:extLst>
              </xdr:cNvPr>
              <xdr:cNvGrpSpPr/>
            </xdr:nvGrpSpPr>
            <xdr:grpSpPr>
              <a:xfrm>
                <a:off x="4099560" y="3284222"/>
                <a:ext cx="3078480" cy="1089659"/>
                <a:chOff x="270587" y="301741"/>
                <a:chExt cx="4170784" cy="1568295"/>
              </a:xfrm>
            </xdr:grpSpPr>
            <xdr:sp macro="" textlink="">
              <xdr:nvSpPr>
                <xdr:cNvPr id="99" name="Rectangle: Rounded Corners 98">
                  <a:extLst>
                    <a:ext uri="{FF2B5EF4-FFF2-40B4-BE49-F238E27FC236}">
                      <a16:creationId xmlns:a16="http://schemas.microsoft.com/office/drawing/2014/main" id="{7D9D36AB-72CD-94CC-0E34-0A7AC827C759}"/>
                    </a:ext>
                  </a:extLst>
                </xdr:cNvPr>
                <xdr:cNvSpPr/>
              </xdr:nvSpPr>
              <xdr:spPr>
                <a:xfrm>
                  <a:off x="270587" y="301741"/>
                  <a:ext cx="4170784" cy="1568295"/>
                </a:xfrm>
                <a:prstGeom prst="roundRect">
                  <a:avLst>
                    <a:gd name="adj" fmla="val 7521"/>
                  </a:avLst>
                </a:prstGeom>
                <a:solidFill>
                  <a:schemeClr val="bg1"/>
                </a:solidFill>
                <a:ln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  <xdr:grpSp>
              <xdr:nvGrpSpPr>
                <xdr:cNvPr id="100" name="Group 99">
                  <a:extLst>
                    <a:ext uri="{FF2B5EF4-FFF2-40B4-BE49-F238E27FC236}">
                      <a16:creationId xmlns:a16="http://schemas.microsoft.com/office/drawing/2014/main" id="{319AC8DA-776E-F254-8338-0076D216708F}"/>
                    </a:ext>
                  </a:extLst>
                </xdr:cNvPr>
                <xdr:cNvGrpSpPr/>
              </xdr:nvGrpSpPr>
              <xdr:grpSpPr>
                <a:xfrm>
                  <a:off x="379205" y="410284"/>
                  <a:ext cx="3920705" cy="308173"/>
                  <a:chOff x="379205" y="410284"/>
                  <a:chExt cx="3920705" cy="308173"/>
                </a:xfrm>
              </xdr:grpSpPr>
              <xdr:pic>
                <xdr:nvPicPr>
                  <xdr:cNvPr id="101" name="Picture 100">
                    <a:extLst>
                      <a:ext uri="{FF2B5EF4-FFF2-40B4-BE49-F238E27FC236}">
                        <a16:creationId xmlns:a16="http://schemas.microsoft.com/office/drawing/2014/main" id="{89A6BBC3-ECE0-88CB-5D28-58B7E7316A54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"/>
                  <a:srcRect b="53518"/>
                  <a:stretch/>
                </xdr:blipFill>
                <xdr:spPr>
                  <a:xfrm>
                    <a:off x="379205" y="410284"/>
                    <a:ext cx="3726503" cy="30817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2" name="Picture 101">
                    <a:extLst>
                      <a:ext uri="{FF2B5EF4-FFF2-40B4-BE49-F238E27FC236}">
                        <a16:creationId xmlns:a16="http://schemas.microsoft.com/office/drawing/2014/main" id="{4D82CD2A-85F2-D8B4-EE33-A4299B5F1CD1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"/>
                  <a:stretch>
                    <a:fillRect/>
                  </a:stretch>
                </xdr:blipFill>
                <xdr:spPr>
                  <a:xfrm>
                    <a:off x="3830432" y="428945"/>
                    <a:ext cx="469478" cy="289511"/>
                  </a:xfrm>
                  <a:prstGeom prst="rect">
                    <a:avLst/>
                  </a:prstGeom>
                </xdr:spPr>
              </xdr:pic>
            </xdr:grpSp>
          </xdr:grpSp>
          <xdr:sp macro="" textlink="">
            <xdr:nvSpPr>
              <xdr:cNvPr id="87" name="TextBox 86">
                <a:extLst>
                  <a:ext uri="{FF2B5EF4-FFF2-40B4-BE49-F238E27FC236}">
                    <a16:creationId xmlns:a16="http://schemas.microsoft.com/office/drawing/2014/main" id="{011C7AA1-08E4-0B86-F331-BF37AC1DE564}"/>
                  </a:ext>
                </a:extLst>
              </xdr:cNvPr>
              <xdr:cNvSpPr txBox="1"/>
            </xdr:nvSpPr>
            <xdr:spPr>
              <a:xfrm>
                <a:off x="5090160" y="3771900"/>
                <a:ext cx="678180" cy="24384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200" b="1">
                    <a:latin typeface="TH Sarabun New" panose="020B0500040200020003" pitchFamily="34" charset="-34"/>
                    <a:cs typeface="TH Sarabun New" panose="020B0500040200020003" pitchFamily="34" charset="-34"/>
                  </a:rPr>
                  <a:t>F</a:t>
                </a:r>
                <a:r>
                  <a:rPr lang="en-US" sz="1200" b="1" baseline="0">
                    <a:latin typeface="TH Sarabun New" panose="020B0500040200020003" pitchFamily="34" charset="-34"/>
                    <a:cs typeface="TH Sarabun New" panose="020B0500040200020003" pitchFamily="34" charset="-34"/>
                  </a:rPr>
                  <a:t> Code</a:t>
                </a:r>
                <a:endParaRPr lang="en-US" sz="1200" b="1"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  <xdr:pic>
            <xdr:nvPicPr>
              <xdr:cNvPr id="88" name="Picture 87">
                <a:extLst>
                  <a:ext uri="{FF2B5EF4-FFF2-40B4-BE49-F238E27FC236}">
                    <a16:creationId xmlns:a16="http://schemas.microsoft.com/office/drawing/2014/main" id="{5E15AEEA-E174-4267-6E6E-0CD38657E51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6728460" y="3825241"/>
                <a:ext cx="346524" cy="201153"/>
              </a:xfrm>
              <a:prstGeom prst="rect">
                <a:avLst/>
              </a:prstGeom>
            </xdr:spPr>
          </xdr:pic>
          <xdr:grpSp>
            <xdr:nvGrpSpPr>
              <xdr:cNvPr id="89" name="Group 88">
                <a:extLst>
                  <a:ext uri="{FF2B5EF4-FFF2-40B4-BE49-F238E27FC236}">
                    <a16:creationId xmlns:a16="http://schemas.microsoft.com/office/drawing/2014/main" id="{A90C3C33-F884-62B9-0C45-0F6490B0D634}"/>
                  </a:ext>
                </a:extLst>
              </xdr:cNvPr>
              <xdr:cNvGrpSpPr/>
            </xdr:nvGrpSpPr>
            <xdr:grpSpPr>
              <a:xfrm>
                <a:off x="5806440" y="3764281"/>
                <a:ext cx="899160" cy="331309"/>
                <a:chOff x="2080260" y="4297681"/>
                <a:chExt cx="899160" cy="331309"/>
              </a:xfrm>
            </xdr:grpSpPr>
            <xdr:sp macro="" textlink="">
              <xdr:nvSpPr>
                <xdr:cNvPr id="93" name="Rectangle 92">
                  <a:extLst>
                    <a:ext uri="{FF2B5EF4-FFF2-40B4-BE49-F238E27FC236}">
                      <a16:creationId xmlns:a16="http://schemas.microsoft.com/office/drawing/2014/main" id="{93E5A91B-0B19-2B26-45E0-4A1DE8402713}"/>
                    </a:ext>
                  </a:extLst>
                </xdr:cNvPr>
                <xdr:cNvSpPr/>
              </xdr:nvSpPr>
              <xdr:spPr>
                <a:xfrm>
                  <a:off x="2080260" y="4366260"/>
                  <a:ext cx="899160" cy="175260"/>
                </a:xfrm>
                <a:prstGeom prst="rect">
                  <a:avLst/>
                </a:prstGeom>
                <a:solidFill>
                  <a:schemeClr val="bg1"/>
                </a:solidFill>
                <a:ln>
                  <a:solidFill>
                    <a:schemeClr val="accent3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94" name="TextBox 133">
                  <a:extLst>
                    <a:ext uri="{FF2B5EF4-FFF2-40B4-BE49-F238E27FC236}">
                      <a16:creationId xmlns:a16="http://schemas.microsoft.com/office/drawing/2014/main" id="{AF8E3331-8623-4205-A63E-322B1A48B72E}"/>
                    </a:ext>
                  </a:extLst>
                </xdr:cNvPr>
                <xdr:cNvSpPr txBox="1"/>
              </xdr:nvSpPr>
              <xdr:spPr>
                <a:xfrm>
                  <a:off x="2141220" y="4297681"/>
                  <a:ext cx="739140" cy="331309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US" sz="1400">
                      <a:latin typeface="TH Sarabun New" panose="020B0500040200020003" pitchFamily="34" charset="-34"/>
                      <a:cs typeface="TH Sarabun New" panose="020B0500040200020003" pitchFamily="34" charset="-34"/>
                    </a:rPr>
                    <a:t>F000053</a:t>
                  </a:r>
                </a:p>
              </xdr:txBody>
            </xdr:sp>
          </xdr:grpSp>
          <xdr:pic>
            <xdr:nvPicPr>
              <xdr:cNvPr id="90" name="Picture 89">
                <a:extLst>
                  <a:ext uri="{FF2B5EF4-FFF2-40B4-BE49-F238E27FC236}">
                    <a16:creationId xmlns:a16="http://schemas.microsoft.com/office/drawing/2014/main" id="{DD8E5BE3-982C-1FE6-4C24-922910744AB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6728460" y="4046221"/>
                <a:ext cx="332646" cy="176767"/>
              </a:xfrm>
              <a:prstGeom prst="rect">
                <a:avLst/>
              </a:prstGeom>
            </xdr:spPr>
          </xdr:pic>
          <xdr:sp macro="" textlink="">
            <xdr:nvSpPr>
              <xdr:cNvPr id="91" name="Rectangle 90">
                <a:extLst>
                  <a:ext uri="{FF2B5EF4-FFF2-40B4-BE49-F238E27FC236}">
                    <a16:creationId xmlns:a16="http://schemas.microsoft.com/office/drawing/2014/main" id="{DAD6DAF2-3515-D9E3-692A-6722BE286D8A}"/>
                  </a:ext>
                </a:extLst>
              </xdr:cNvPr>
              <xdr:cNvSpPr/>
            </xdr:nvSpPr>
            <xdr:spPr>
              <a:xfrm>
                <a:off x="5806440" y="4046221"/>
                <a:ext cx="899160" cy="1752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accent3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92" name="TextBox 133">
                <a:extLst>
                  <a:ext uri="{FF2B5EF4-FFF2-40B4-BE49-F238E27FC236}">
                    <a16:creationId xmlns:a16="http://schemas.microsoft.com/office/drawing/2014/main" id="{E553E409-9FCA-A073-A3AC-A380F799EDE3}"/>
                  </a:ext>
                </a:extLst>
              </xdr:cNvPr>
              <xdr:cNvSpPr txBox="1"/>
            </xdr:nvSpPr>
            <xdr:spPr>
              <a:xfrm>
                <a:off x="5875020" y="3977641"/>
                <a:ext cx="739140" cy="331309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400">
                    <a:latin typeface="TH Sarabun New" panose="020B0500040200020003" pitchFamily="34" charset="-34"/>
                    <a:cs typeface="TH Sarabun New" panose="020B0500040200020003" pitchFamily="34" charset="-34"/>
                  </a:rPr>
                  <a:t>F000061</a:t>
                </a:r>
              </a:p>
            </xdr:txBody>
          </xdr:sp>
        </xdr:grpSp>
        <xdr:pic>
          <xdr:nvPicPr>
            <xdr:cNvPr id="132" name="Picture 131">
              <a:extLst>
                <a:ext uri="{FF2B5EF4-FFF2-40B4-BE49-F238E27FC236}">
                  <a16:creationId xmlns:a16="http://schemas.microsoft.com/office/drawing/2014/main" id="{6EAC627B-55F9-D441-607C-FD24F7676FA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709160" y="5410200"/>
              <a:ext cx="2202180" cy="228900"/>
            </a:xfrm>
            <a:prstGeom prst="rect">
              <a:avLst/>
            </a:prstGeom>
          </xdr:spPr>
        </xdr:pic>
      </xdr:grpSp>
      <xdr:pic>
        <xdr:nvPicPr>
          <xdr:cNvPr id="134" name="Picture 133">
            <a:extLst>
              <a:ext uri="{FF2B5EF4-FFF2-40B4-BE49-F238E27FC236}">
                <a16:creationId xmlns:a16="http://schemas.microsoft.com/office/drawing/2014/main" id="{CE208BC0-A958-4B90-9841-F2E3897D717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l="2279" t="8888" r="1" b="4444"/>
          <a:stretch/>
        </xdr:blipFill>
        <xdr:spPr>
          <a:xfrm>
            <a:off x="5745480" y="5204461"/>
            <a:ext cx="942360" cy="195002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175260</xdr:colOff>
      <xdr:row>23</xdr:row>
      <xdr:rowOff>106683</xdr:rowOff>
    </xdr:from>
    <xdr:to>
      <xdr:col>5</xdr:col>
      <xdr:colOff>1043940</xdr:colOff>
      <xdr:row>26</xdr:row>
      <xdr:rowOff>144781</xdr:rowOff>
    </xdr:to>
    <xdr:grpSp>
      <xdr:nvGrpSpPr>
        <xdr:cNvPr id="172" name="Group 171">
          <a:extLst>
            <a:ext uri="{FF2B5EF4-FFF2-40B4-BE49-F238E27FC236}">
              <a16:creationId xmlns:a16="http://schemas.microsoft.com/office/drawing/2014/main" id="{A8A3AC55-CD7E-40CE-9980-8CE515F0666E}"/>
            </a:ext>
          </a:extLst>
        </xdr:cNvPr>
        <xdr:cNvGrpSpPr/>
      </xdr:nvGrpSpPr>
      <xdr:grpSpPr>
        <a:xfrm>
          <a:off x="3737610" y="5678808"/>
          <a:ext cx="3021330" cy="733423"/>
          <a:chOff x="335280" y="4907284"/>
          <a:chExt cx="3078480" cy="845818"/>
        </a:xfrm>
      </xdr:grpSpPr>
      <xdr:grpSp>
        <xdr:nvGrpSpPr>
          <xdr:cNvPr id="173" name="Group 172">
            <a:extLst>
              <a:ext uri="{FF2B5EF4-FFF2-40B4-BE49-F238E27FC236}">
                <a16:creationId xmlns:a16="http://schemas.microsoft.com/office/drawing/2014/main" id="{20E14E3C-21C8-1A35-BCC2-6E820CA31B56}"/>
              </a:ext>
            </a:extLst>
          </xdr:cNvPr>
          <xdr:cNvGrpSpPr/>
        </xdr:nvGrpSpPr>
        <xdr:grpSpPr>
          <a:xfrm>
            <a:off x="335280" y="4907284"/>
            <a:ext cx="3078480" cy="845818"/>
            <a:chOff x="266700" y="3261364"/>
            <a:chExt cx="3078480" cy="845818"/>
          </a:xfrm>
        </xdr:grpSpPr>
        <xdr:grpSp>
          <xdr:nvGrpSpPr>
            <xdr:cNvPr id="176" name="Group 175">
              <a:extLst>
                <a:ext uri="{FF2B5EF4-FFF2-40B4-BE49-F238E27FC236}">
                  <a16:creationId xmlns:a16="http://schemas.microsoft.com/office/drawing/2014/main" id="{4014C10F-C879-4000-8F8D-620077974DB5}"/>
                </a:ext>
              </a:extLst>
            </xdr:cNvPr>
            <xdr:cNvGrpSpPr/>
          </xdr:nvGrpSpPr>
          <xdr:grpSpPr>
            <a:xfrm>
              <a:off x="266700" y="3261364"/>
              <a:ext cx="3078480" cy="845818"/>
              <a:chOff x="388620" y="3368042"/>
              <a:chExt cx="4170784" cy="1217346"/>
            </a:xfrm>
          </xdr:grpSpPr>
          <xdr:grpSp>
            <xdr:nvGrpSpPr>
              <xdr:cNvPr id="180" name="Group 179">
                <a:extLst>
                  <a:ext uri="{FF2B5EF4-FFF2-40B4-BE49-F238E27FC236}">
                    <a16:creationId xmlns:a16="http://schemas.microsoft.com/office/drawing/2014/main" id="{79795F4C-F840-0C95-05A2-3EF0099F63D1}"/>
                  </a:ext>
                </a:extLst>
              </xdr:cNvPr>
              <xdr:cNvGrpSpPr/>
            </xdr:nvGrpSpPr>
            <xdr:grpSpPr>
              <a:xfrm>
                <a:off x="388620" y="3368042"/>
                <a:ext cx="4170784" cy="1217346"/>
                <a:chOff x="270587" y="301742"/>
                <a:chExt cx="4170784" cy="1217346"/>
              </a:xfrm>
            </xdr:grpSpPr>
            <xdr:sp macro="" textlink="">
              <xdr:nvSpPr>
                <xdr:cNvPr id="184" name="Rectangle: Rounded Corners 183">
                  <a:extLst>
                    <a:ext uri="{FF2B5EF4-FFF2-40B4-BE49-F238E27FC236}">
                      <a16:creationId xmlns:a16="http://schemas.microsoft.com/office/drawing/2014/main" id="{1A0A0E1F-4597-8B23-C487-F2378357CB96}"/>
                    </a:ext>
                  </a:extLst>
                </xdr:cNvPr>
                <xdr:cNvSpPr/>
              </xdr:nvSpPr>
              <xdr:spPr>
                <a:xfrm>
                  <a:off x="270587" y="301742"/>
                  <a:ext cx="4170784" cy="1217346"/>
                </a:xfrm>
                <a:prstGeom prst="roundRect">
                  <a:avLst>
                    <a:gd name="adj" fmla="val 7521"/>
                  </a:avLst>
                </a:prstGeom>
                <a:solidFill>
                  <a:schemeClr val="bg1"/>
                </a:solidFill>
                <a:ln>
                  <a:solidFill>
                    <a:schemeClr val="tx2">
                      <a:lumMod val="60000"/>
                      <a:lumOff val="40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  <xdr:grpSp>
              <xdr:nvGrpSpPr>
                <xdr:cNvPr id="185" name="Group 184">
                  <a:extLst>
                    <a:ext uri="{FF2B5EF4-FFF2-40B4-BE49-F238E27FC236}">
                      <a16:creationId xmlns:a16="http://schemas.microsoft.com/office/drawing/2014/main" id="{FDE90DA7-5ABB-6824-E0D2-A00C92AABFBA}"/>
                    </a:ext>
                  </a:extLst>
                </xdr:cNvPr>
                <xdr:cNvGrpSpPr/>
              </xdr:nvGrpSpPr>
              <xdr:grpSpPr>
                <a:xfrm>
                  <a:off x="379205" y="410284"/>
                  <a:ext cx="3920705" cy="308173"/>
                  <a:chOff x="379205" y="410284"/>
                  <a:chExt cx="3920705" cy="308173"/>
                </a:xfrm>
              </xdr:grpSpPr>
              <xdr:pic>
                <xdr:nvPicPr>
                  <xdr:cNvPr id="186" name="Picture 185">
                    <a:extLst>
                      <a:ext uri="{FF2B5EF4-FFF2-40B4-BE49-F238E27FC236}">
                        <a16:creationId xmlns:a16="http://schemas.microsoft.com/office/drawing/2014/main" id="{171DF0B7-4857-C6BF-52C4-DA16B2AB128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"/>
                  <a:srcRect b="53518"/>
                  <a:stretch/>
                </xdr:blipFill>
                <xdr:spPr>
                  <a:xfrm>
                    <a:off x="379205" y="410284"/>
                    <a:ext cx="3726503" cy="30817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87" name="Picture 186">
                    <a:extLst>
                      <a:ext uri="{FF2B5EF4-FFF2-40B4-BE49-F238E27FC236}">
                        <a16:creationId xmlns:a16="http://schemas.microsoft.com/office/drawing/2014/main" id="{E4A0F0C5-0EE0-E71D-436B-6BB855ADF1B8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"/>
                  <a:stretch>
                    <a:fillRect/>
                  </a:stretch>
                </xdr:blipFill>
                <xdr:spPr>
                  <a:xfrm>
                    <a:off x="3830432" y="428945"/>
                    <a:ext cx="469478" cy="289511"/>
                  </a:xfrm>
                  <a:prstGeom prst="rect">
                    <a:avLst/>
                  </a:prstGeom>
                </xdr:spPr>
              </xdr:pic>
            </xdr:grpSp>
          </xdr:grpSp>
          <xdr:pic>
            <xdr:nvPicPr>
              <xdr:cNvPr id="181" name="Picture 180">
                <a:extLst>
                  <a:ext uri="{FF2B5EF4-FFF2-40B4-BE49-F238E27FC236}">
                    <a16:creationId xmlns:a16="http://schemas.microsoft.com/office/drawing/2014/main" id="{FD72201B-2C9F-3643-2BF7-8B63D2EF1B4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2651759" y="3505201"/>
                <a:ext cx="1280743" cy="289559"/>
              </a:xfrm>
              <a:prstGeom prst="rect">
                <a:avLst/>
              </a:prstGeom>
            </xdr:spPr>
          </xdr:pic>
          <xdr:pic>
            <xdr:nvPicPr>
              <xdr:cNvPr id="183" name="Picture 182">
                <a:extLst>
                  <a:ext uri="{FF2B5EF4-FFF2-40B4-BE49-F238E27FC236}">
                    <a16:creationId xmlns:a16="http://schemas.microsoft.com/office/drawing/2014/main" id="{95741EE1-740A-EB3C-38FF-6977B0A6063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/>
              <a:stretch>
                <a:fillRect/>
              </a:stretch>
            </xdr:blipFill>
            <xdr:spPr>
              <a:xfrm>
                <a:off x="1270327" y="3784860"/>
                <a:ext cx="3032760" cy="305457"/>
              </a:xfrm>
              <a:prstGeom prst="rect">
                <a:avLst/>
              </a:prstGeom>
            </xdr:spPr>
          </xdr:pic>
        </xdr:grpSp>
        <xdr:grpSp>
          <xdr:nvGrpSpPr>
            <xdr:cNvPr id="177" name="Group 176">
              <a:extLst>
                <a:ext uri="{FF2B5EF4-FFF2-40B4-BE49-F238E27FC236}">
                  <a16:creationId xmlns:a16="http://schemas.microsoft.com/office/drawing/2014/main" id="{80C25C9B-44C8-268E-44F6-B176ABB0AA3F}"/>
                </a:ext>
              </a:extLst>
            </xdr:cNvPr>
            <xdr:cNvGrpSpPr/>
          </xdr:nvGrpSpPr>
          <xdr:grpSpPr>
            <a:xfrm>
              <a:off x="1973580" y="3764281"/>
              <a:ext cx="899160" cy="331309"/>
              <a:chOff x="2095500" y="4084321"/>
              <a:chExt cx="899160" cy="331309"/>
            </a:xfrm>
          </xdr:grpSpPr>
          <xdr:sp macro="" textlink="">
            <xdr:nvSpPr>
              <xdr:cNvPr id="178" name="Rectangle 177">
                <a:extLst>
                  <a:ext uri="{FF2B5EF4-FFF2-40B4-BE49-F238E27FC236}">
                    <a16:creationId xmlns:a16="http://schemas.microsoft.com/office/drawing/2014/main" id="{0F444B39-F1A2-552B-B800-BB23E4000948}"/>
                  </a:ext>
                </a:extLst>
              </xdr:cNvPr>
              <xdr:cNvSpPr/>
            </xdr:nvSpPr>
            <xdr:spPr>
              <a:xfrm>
                <a:off x="2095500" y="4152900"/>
                <a:ext cx="899160" cy="175260"/>
              </a:xfrm>
              <a:prstGeom prst="rect">
                <a:avLst/>
              </a:prstGeom>
              <a:solidFill>
                <a:schemeClr val="bg1"/>
              </a:solidFill>
              <a:ln>
                <a:solidFill>
                  <a:schemeClr val="accent3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79" name="TextBox 133">
                <a:extLst>
                  <a:ext uri="{FF2B5EF4-FFF2-40B4-BE49-F238E27FC236}">
                    <a16:creationId xmlns:a16="http://schemas.microsoft.com/office/drawing/2014/main" id="{F9CC63E3-D350-8C37-5F65-6901827A6942}"/>
                  </a:ext>
                </a:extLst>
              </xdr:cNvPr>
              <xdr:cNvSpPr txBox="1"/>
            </xdr:nvSpPr>
            <xdr:spPr>
              <a:xfrm>
                <a:off x="2156460" y="4084321"/>
                <a:ext cx="739140" cy="331309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400">
                    <a:latin typeface="TH Sarabun New" panose="020B0500040200020003" pitchFamily="34" charset="-34"/>
                    <a:cs typeface="TH Sarabun New" panose="020B0500040200020003" pitchFamily="34" charset="-34"/>
                  </a:rPr>
                  <a:t>F000061</a:t>
                </a:r>
              </a:p>
            </xdr:txBody>
          </xdr:sp>
        </xdr:grpSp>
      </xdr:grpSp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68E78E51-CE7E-9FB4-C8E2-16F58E15ABFF}"/>
              </a:ext>
            </a:extLst>
          </xdr:cNvPr>
          <xdr:cNvSpPr txBox="1"/>
        </xdr:nvSpPr>
        <xdr:spPr>
          <a:xfrm>
            <a:off x="1341120" y="5433060"/>
            <a:ext cx="678180" cy="2438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H Sarabun New" panose="020B0500040200020003" pitchFamily="34" charset="-34"/>
                <a:cs typeface="TH Sarabun New" panose="020B0500040200020003" pitchFamily="34" charset="-34"/>
              </a:rPr>
              <a:t>F</a:t>
            </a:r>
            <a:r>
              <a:rPr lang="en-US" sz="1200" b="1" baseline="0">
                <a:latin typeface="TH Sarabun New" panose="020B0500040200020003" pitchFamily="34" charset="-34"/>
                <a:cs typeface="TH Sarabun New" panose="020B0500040200020003" pitchFamily="34" charset="-34"/>
              </a:rPr>
              <a:t> Code</a:t>
            </a:r>
            <a:endParaRPr lang="en-US" sz="1200" b="1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  <xdr:pic>
        <xdr:nvPicPr>
          <xdr:cNvPr id="175" name="Picture 174">
            <a:extLst>
              <a:ext uri="{FF2B5EF4-FFF2-40B4-BE49-F238E27FC236}">
                <a16:creationId xmlns:a16="http://schemas.microsoft.com/office/drawing/2014/main" id="{19414355-7993-147A-F9E2-BEEBE36EA6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979420" y="5455921"/>
            <a:ext cx="346524" cy="20115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807719</xdr:colOff>
      <xdr:row>23</xdr:row>
      <xdr:rowOff>152400</xdr:rowOff>
    </xdr:from>
    <xdr:to>
      <xdr:col>2</xdr:col>
      <xdr:colOff>617219</xdr:colOff>
      <xdr:row>24</xdr:row>
      <xdr:rowOff>84484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F86F364E-D387-FCAA-48FF-8AD71FDD2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12619" y="6355080"/>
          <a:ext cx="914400" cy="198784"/>
        </a:xfrm>
        <a:prstGeom prst="rect">
          <a:avLst/>
        </a:prstGeom>
      </xdr:spPr>
    </xdr:pic>
    <xdr:clientData/>
  </xdr:twoCellAnchor>
  <xdr:twoCellAnchor>
    <xdr:from>
      <xdr:col>8</xdr:col>
      <xdr:colOff>220981</xdr:colOff>
      <xdr:row>13</xdr:row>
      <xdr:rowOff>228600</xdr:rowOff>
    </xdr:from>
    <xdr:to>
      <xdr:col>11</xdr:col>
      <xdr:colOff>1196341</xdr:colOff>
      <xdr:row>23</xdr:row>
      <xdr:rowOff>205401</xdr:rowOff>
    </xdr:to>
    <xdr:grpSp>
      <xdr:nvGrpSpPr>
        <xdr:cNvPr id="204" name="Group 203">
          <a:extLst>
            <a:ext uri="{FF2B5EF4-FFF2-40B4-BE49-F238E27FC236}">
              <a16:creationId xmlns:a16="http://schemas.microsoft.com/office/drawing/2014/main" id="{5B623EA4-39A2-E91E-CA8D-0968A2886AA8}"/>
            </a:ext>
          </a:extLst>
        </xdr:cNvPr>
        <xdr:cNvGrpSpPr/>
      </xdr:nvGrpSpPr>
      <xdr:grpSpPr>
        <a:xfrm>
          <a:off x="8602981" y="3381375"/>
          <a:ext cx="4451985" cy="2396151"/>
          <a:chOff x="8275321" y="601980"/>
          <a:chExt cx="4038600" cy="2666661"/>
        </a:xfrm>
      </xdr:grpSpPr>
      <xdr:pic>
        <xdr:nvPicPr>
          <xdr:cNvPr id="192" name="Picture 191">
            <a:extLst>
              <a:ext uri="{FF2B5EF4-FFF2-40B4-BE49-F238E27FC236}">
                <a16:creationId xmlns:a16="http://schemas.microsoft.com/office/drawing/2014/main" id="{AECCB033-648B-A8C3-5F1B-C69824EA31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8275321" y="601980"/>
            <a:ext cx="4038600" cy="2211275"/>
          </a:xfrm>
          <a:prstGeom prst="roundRect">
            <a:avLst>
              <a:gd name="adj" fmla="val 11844"/>
            </a:avLst>
          </a:prstGeom>
        </xdr:spPr>
      </xdr:pic>
      <xdr:sp macro="" textlink="">
        <xdr:nvSpPr>
          <xdr:cNvPr id="193" name="TextBox 45">
            <a:extLst>
              <a:ext uri="{FF2B5EF4-FFF2-40B4-BE49-F238E27FC236}">
                <a16:creationId xmlns:a16="http://schemas.microsoft.com/office/drawing/2014/main" id="{300A07F0-062D-6482-02D1-7D3F3E597650}"/>
              </a:ext>
            </a:extLst>
          </xdr:cNvPr>
          <xdr:cNvSpPr txBox="1"/>
        </xdr:nvSpPr>
        <xdr:spPr>
          <a:xfrm>
            <a:off x="9982200" y="2903220"/>
            <a:ext cx="2293620" cy="365421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TH Sarabun New" panose="020B0500040200020003" pitchFamily="34" charset="-34"/>
                <a:cs typeface="TH Sarabun New" panose="020B0500040200020003" pitchFamily="34" charset="-34"/>
              </a:rPr>
              <a:t>Drop down </a:t>
            </a:r>
            <a:r>
              <a:rPr lang="th-TH" sz="1600">
                <a:latin typeface="TH Sarabun New" panose="020B0500040200020003" pitchFamily="34" charset="-34"/>
                <a:cs typeface="TH Sarabun New" panose="020B0500040200020003" pitchFamily="34" charset="-34"/>
              </a:rPr>
              <a:t>จากการกรอกยอด</a:t>
            </a:r>
          </a:p>
        </xdr:txBody>
      </xdr:sp>
      <xdr:sp macro="" textlink="">
        <xdr:nvSpPr>
          <xdr:cNvPr id="194" name="Rectangle 193">
            <a:extLst>
              <a:ext uri="{FF2B5EF4-FFF2-40B4-BE49-F238E27FC236}">
                <a16:creationId xmlns:a16="http://schemas.microsoft.com/office/drawing/2014/main" id="{7641C1AA-AF4A-E398-BC98-23A63BD24C8F}"/>
              </a:ext>
            </a:extLst>
          </xdr:cNvPr>
          <xdr:cNvSpPr/>
        </xdr:nvSpPr>
        <xdr:spPr>
          <a:xfrm>
            <a:off x="10546080" y="2042160"/>
            <a:ext cx="1150620" cy="609600"/>
          </a:xfrm>
          <a:prstGeom prst="rect">
            <a:avLst/>
          </a:prstGeom>
          <a:noFill/>
          <a:ln w="19050">
            <a:solidFill>
              <a:schemeClr val="accent2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96" name="Straight Arrow Connector 195">
            <a:extLst>
              <a:ext uri="{FF2B5EF4-FFF2-40B4-BE49-F238E27FC236}">
                <a16:creationId xmlns:a16="http://schemas.microsoft.com/office/drawing/2014/main" id="{71FDAE38-8566-46A3-FE25-681DAB297973}"/>
              </a:ext>
            </a:extLst>
          </xdr:cNvPr>
          <xdr:cNvCxnSpPr>
            <a:stCxn id="193" idx="0"/>
            <a:endCxn id="194" idx="2"/>
          </xdr:cNvCxnSpPr>
        </xdr:nvCxnSpPr>
        <xdr:spPr>
          <a:xfrm flipH="1" flipV="1">
            <a:off x="11121390" y="2651760"/>
            <a:ext cx="7620" cy="25146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571500</xdr:colOff>
      <xdr:row>15</xdr:row>
      <xdr:rowOff>53340</xdr:rowOff>
    </xdr:from>
    <xdr:to>
      <xdr:col>18</xdr:col>
      <xdr:colOff>1440180</xdr:colOff>
      <xdr:row>18</xdr:row>
      <xdr:rowOff>114300</xdr:rowOff>
    </xdr:to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F8D55047-1C74-5B17-9245-46A97F63C542}"/>
            </a:ext>
          </a:extLst>
        </xdr:cNvPr>
        <xdr:cNvSpPr txBox="1"/>
      </xdr:nvSpPr>
      <xdr:spPr>
        <a:xfrm>
          <a:off x="20353020" y="4130040"/>
          <a:ext cx="3169920" cy="8686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TH Sarabun New" panose="020B0500040200020003" pitchFamily="34" charset="-34"/>
              <a:cs typeface="TH Sarabun New" panose="020B0500040200020003" pitchFamily="34" charset="-34"/>
            </a:rPr>
            <a:t>Unit Price</a:t>
          </a:r>
          <a:r>
            <a:rPr lang="th-TH" sz="1400" b="1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r>
            <a:rPr lang="en-US" sz="1400" b="1">
              <a:latin typeface="TH Sarabun New" panose="020B0500040200020003" pitchFamily="34" charset="-34"/>
              <a:cs typeface="TH Sarabun New" panose="020B0500040200020003" pitchFamily="34" charset="-34"/>
            </a:rPr>
            <a:t>:</a:t>
          </a:r>
          <a:r>
            <a:rPr lang="en-US" sz="14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r>
            <a:rPr lang="th-TH" sz="1400">
              <a:latin typeface="TH Sarabun New" panose="020B0500040200020003" pitchFamily="34" charset="-34"/>
              <a:cs typeface="TH Sarabun New" panose="020B0500040200020003" pitchFamily="34" charset="-34"/>
            </a:rPr>
            <a:t>คำนวณแยกของ 2 </a:t>
          </a:r>
          <a:r>
            <a:rPr lang="en-US" sz="1400">
              <a:latin typeface="TH Sarabun New" panose="020B0500040200020003" pitchFamily="34" charset="-34"/>
              <a:cs typeface="TH Sarabun New" panose="020B0500040200020003" pitchFamily="34" charset="-34"/>
            </a:rPr>
            <a:t>x 3 </a:t>
          </a:r>
          <a:r>
            <a:rPr lang="th-TH" sz="1400">
              <a:latin typeface="TH Sarabun New" panose="020B0500040200020003" pitchFamily="34" charset="-34"/>
              <a:cs typeface="TH Sarabun New" panose="020B0500040200020003" pitchFamily="34" charset="-34"/>
            </a:rPr>
            <a:t>และ 3 </a:t>
          </a:r>
          <a:r>
            <a:rPr lang="en-US" sz="1400">
              <a:latin typeface="TH Sarabun New" panose="020B0500040200020003" pitchFamily="34" charset="-34"/>
              <a:cs typeface="TH Sarabun New" panose="020B0500040200020003" pitchFamily="34" charset="-34"/>
            </a:rPr>
            <a:t>x 4 </a:t>
          </a:r>
          <a:r>
            <a:rPr lang="th-TH" sz="1400">
              <a:latin typeface="TH Sarabun New" panose="020B0500040200020003" pitchFamily="34" charset="-34"/>
              <a:cs typeface="TH Sarabun New" panose="020B0500040200020003" pitchFamily="34" charset="-34"/>
            </a:rPr>
            <a:t>แล้วรวมกัน</a:t>
          </a:r>
        </a:p>
        <a:p>
          <a:r>
            <a:rPr lang="en-US" sz="1400" b="1">
              <a:latin typeface="TH Sarabun New" panose="020B0500040200020003" pitchFamily="34" charset="-34"/>
              <a:cs typeface="TH Sarabun New" panose="020B0500040200020003" pitchFamily="34" charset="-34"/>
            </a:rPr>
            <a:t>Qty : </a:t>
          </a:r>
          <a:r>
            <a:rPr lang="th-TH" sz="1400">
              <a:latin typeface="TH Sarabun New" panose="020B0500040200020003" pitchFamily="34" charset="-34"/>
              <a:cs typeface="TH Sarabun New" panose="020B0500040200020003" pitchFamily="34" charset="-34"/>
            </a:rPr>
            <a:t>ยอดงานของ </a:t>
          </a:r>
          <a:r>
            <a:rPr lang="en-US" sz="1400">
              <a:latin typeface="TH Sarabun New" panose="020B0500040200020003" pitchFamily="34" charset="-34"/>
              <a:cs typeface="TH Sarabun New" panose="020B0500040200020003" pitchFamily="34" charset="-34"/>
            </a:rPr>
            <a:t>F000048</a:t>
          </a:r>
        </a:p>
        <a:p>
          <a:r>
            <a:rPr lang="en-US" sz="1400" b="1">
              <a:latin typeface="TH Sarabun New" panose="020B0500040200020003" pitchFamily="34" charset="-34"/>
              <a:cs typeface="TH Sarabun New" panose="020B0500040200020003" pitchFamily="34" charset="-34"/>
            </a:rPr>
            <a:t>Price : </a:t>
          </a:r>
          <a:r>
            <a:rPr lang="en-US" sz="1400">
              <a:latin typeface="TH Sarabun New" panose="020B0500040200020003" pitchFamily="34" charset="-34"/>
              <a:cs typeface="TH Sarabun New" panose="020B0500040200020003" pitchFamily="34" charset="-34"/>
            </a:rPr>
            <a:t>Unit Price x </a:t>
          </a:r>
          <a:r>
            <a:rPr lang="th-TH" sz="1400">
              <a:latin typeface="TH Sarabun New" panose="020B0500040200020003" pitchFamily="34" charset="-34"/>
              <a:cs typeface="TH Sarabun New" panose="020B0500040200020003" pitchFamily="34" charset="-34"/>
            </a:rPr>
            <a:t>ยอดงานของ </a:t>
          </a:r>
          <a:r>
            <a:rPr lang="en-US" sz="1400">
              <a:latin typeface="TH Sarabun New" panose="020B0500040200020003" pitchFamily="34" charset="-34"/>
              <a:cs typeface="TH Sarabun New" panose="020B0500040200020003" pitchFamily="34" charset="-34"/>
            </a:rPr>
            <a:t>F000048</a:t>
          </a:r>
        </a:p>
        <a:p>
          <a:endParaRPr lang="en-US" sz="1400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  <xdr:twoCellAnchor>
    <xdr:from>
      <xdr:col>16</xdr:col>
      <xdr:colOff>579120</xdr:colOff>
      <xdr:row>19</xdr:row>
      <xdr:rowOff>7620</xdr:rowOff>
    </xdr:from>
    <xdr:to>
      <xdr:col>18</xdr:col>
      <xdr:colOff>1440180</xdr:colOff>
      <xdr:row>22</xdr:row>
      <xdr:rowOff>68580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8021B7BA-0113-443F-A82E-E578EB5DB596}"/>
            </a:ext>
          </a:extLst>
        </xdr:cNvPr>
        <xdr:cNvSpPr txBox="1"/>
      </xdr:nvSpPr>
      <xdr:spPr>
        <a:xfrm>
          <a:off x="20360640" y="5158740"/>
          <a:ext cx="3162300" cy="8686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TH Sarabun New" panose="020B0500040200020003" pitchFamily="34" charset="-34"/>
              <a:cs typeface="TH Sarabun New" panose="020B0500040200020003" pitchFamily="34" charset="-34"/>
            </a:rPr>
            <a:t>Unit Price</a:t>
          </a:r>
          <a:r>
            <a:rPr lang="th-TH" sz="1400" b="1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r>
            <a:rPr lang="en-US" sz="1400" b="1">
              <a:latin typeface="TH Sarabun New" panose="020B0500040200020003" pitchFamily="34" charset="-34"/>
              <a:cs typeface="TH Sarabun New" panose="020B0500040200020003" pitchFamily="34" charset="-34"/>
            </a:rPr>
            <a:t>:</a:t>
          </a:r>
          <a:r>
            <a:rPr lang="en-US" sz="14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r>
            <a:rPr lang="th-TH" sz="1400">
              <a:latin typeface="TH Sarabun New" panose="020B0500040200020003" pitchFamily="34" charset="-34"/>
              <a:cs typeface="TH Sarabun New" panose="020B0500040200020003" pitchFamily="34" charset="-34"/>
            </a:rPr>
            <a:t>ใช้ </a:t>
          </a:r>
          <a:r>
            <a:rPr lang="en-US" sz="1400">
              <a:latin typeface="TH Sarabun New" panose="020B0500040200020003" pitchFamily="34" charset="-34"/>
              <a:cs typeface="TH Sarabun New" panose="020B0500040200020003" pitchFamily="34" charset="-34"/>
            </a:rPr>
            <a:t>Aterups </a:t>
          </a:r>
          <a:r>
            <a:rPr lang="th-TH" sz="1400">
              <a:latin typeface="TH Sarabun New" panose="020B0500040200020003" pitchFamily="34" charset="-34"/>
              <a:cs typeface="TH Sarabun New" panose="020B0500040200020003" pitchFamily="34" charset="-34"/>
            </a:rPr>
            <a:t>ของ </a:t>
          </a:r>
          <a:r>
            <a:rPr lang="en-US" sz="1400">
              <a:latin typeface="TH Sarabun New" panose="020B0500040200020003" pitchFamily="34" charset="-34"/>
              <a:cs typeface="TH Sarabun New" panose="020B0500040200020003" pitchFamily="34" charset="-34"/>
            </a:rPr>
            <a:t>F000048 </a:t>
          </a:r>
          <a:r>
            <a:rPr lang="th-TH" sz="1400">
              <a:latin typeface="TH Sarabun New" panose="020B0500040200020003" pitchFamily="34" charset="-34"/>
              <a:cs typeface="TH Sarabun New" panose="020B0500040200020003" pitchFamily="34" charset="-34"/>
            </a:rPr>
            <a:t>หาเรท </a:t>
          </a:r>
          <a:endParaRPr lang="en-US" sz="14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en-US" sz="1400" b="1">
              <a:latin typeface="TH Sarabun New" panose="020B0500040200020003" pitchFamily="34" charset="-34"/>
              <a:cs typeface="TH Sarabun New" panose="020B0500040200020003" pitchFamily="34" charset="-34"/>
            </a:rPr>
            <a:t>Qty : </a:t>
          </a:r>
          <a:r>
            <a:rPr lang="th-TH" sz="1400">
              <a:latin typeface="TH Sarabun New" panose="020B0500040200020003" pitchFamily="34" charset="-34"/>
              <a:cs typeface="TH Sarabun New" panose="020B0500040200020003" pitchFamily="34" charset="-34"/>
            </a:rPr>
            <a:t>ยอดงานของ </a:t>
          </a:r>
          <a:r>
            <a:rPr lang="en-US" sz="1400">
              <a:latin typeface="TH Sarabun New" panose="020B0500040200020003" pitchFamily="34" charset="-34"/>
              <a:cs typeface="TH Sarabun New" panose="020B0500040200020003" pitchFamily="34" charset="-34"/>
            </a:rPr>
            <a:t>F000048</a:t>
          </a:r>
        </a:p>
        <a:p>
          <a:r>
            <a:rPr lang="en-US" sz="1400" b="1">
              <a:latin typeface="TH Sarabun New" panose="020B0500040200020003" pitchFamily="34" charset="-34"/>
              <a:cs typeface="TH Sarabun New" panose="020B0500040200020003" pitchFamily="34" charset="-34"/>
            </a:rPr>
            <a:t>Price : </a:t>
          </a:r>
          <a:r>
            <a:rPr lang="en-US" sz="1400">
              <a:latin typeface="TH Sarabun New" panose="020B0500040200020003" pitchFamily="34" charset="-34"/>
              <a:cs typeface="TH Sarabun New" panose="020B0500040200020003" pitchFamily="34" charset="-34"/>
            </a:rPr>
            <a:t>Unit Price x </a:t>
          </a:r>
          <a:r>
            <a:rPr lang="th-TH" sz="1400">
              <a:latin typeface="TH Sarabun New" panose="020B0500040200020003" pitchFamily="34" charset="-34"/>
              <a:cs typeface="TH Sarabun New" panose="020B0500040200020003" pitchFamily="34" charset="-34"/>
            </a:rPr>
            <a:t>ยอดงานของ </a:t>
          </a:r>
          <a:r>
            <a:rPr lang="en-US" sz="1400">
              <a:latin typeface="TH Sarabun New" panose="020B0500040200020003" pitchFamily="34" charset="-34"/>
              <a:cs typeface="TH Sarabun New" panose="020B0500040200020003" pitchFamily="34" charset="-34"/>
            </a:rPr>
            <a:t>F000048</a:t>
          </a:r>
        </a:p>
        <a:p>
          <a:endParaRPr lang="en-US" sz="1400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  <xdr:twoCellAnchor>
    <xdr:from>
      <xdr:col>16</xdr:col>
      <xdr:colOff>7620</xdr:colOff>
      <xdr:row>16</xdr:row>
      <xdr:rowOff>213360</xdr:rowOff>
    </xdr:from>
    <xdr:to>
      <xdr:col>16</xdr:col>
      <xdr:colOff>571500</xdr:colOff>
      <xdr:row>18</xdr:row>
      <xdr:rowOff>129540</xdr:rowOff>
    </xdr:to>
    <xdr:cxnSp macro="">
      <xdr:nvCxnSpPr>
        <xdr:cNvPr id="200" name="Connector: Elbow 199">
          <a:extLst>
            <a:ext uri="{FF2B5EF4-FFF2-40B4-BE49-F238E27FC236}">
              <a16:creationId xmlns:a16="http://schemas.microsoft.com/office/drawing/2014/main" id="{F1BF5642-2247-CB93-41F1-0966207A56EB}"/>
            </a:ext>
          </a:extLst>
        </xdr:cNvPr>
        <xdr:cNvCxnSpPr>
          <a:endCxn id="197" idx="1"/>
        </xdr:cNvCxnSpPr>
      </xdr:nvCxnSpPr>
      <xdr:spPr>
        <a:xfrm flipV="1">
          <a:off x="19789140" y="4564380"/>
          <a:ext cx="563880" cy="449580"/>
        </a:xfrm>
        <a:prstGeom prst="bentConnector3">
          <a:avLst/>
        </a:prstGeom>
        <a:ln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1600200</xdr:colOff>
      <xdr:row>19</xdr:row>
      <xdr:rowOff>152400</xdr:rowOff>
    </xdr:from>
    <xdr:to>
      <xdr:col>16</xdr:col>
      <xdr:colOff>579120</xdr:colOff>
      <xdr:row>20</xdr:row>
      <xdr:rowOff>167640</xdr:rowOff>
    </xdr:to>
    <xdr:cxnSp macro="">
      <xdr:nvCxnSpPr>
        <xdr:cNvPr id="202" name="Connector: Elbow 201">
          <a:extLst>
            <a:ext uri="{FF2B5EF4-FFF2-40B4-BE49-F238E27FC236}">
              <a16:creationId xmlns:a16="http://schemas.microsoft.com/office/drawing/2014/main" id="{67C5ED22-EAD9-01F1-FE25-EB0B1D2EC2F0}"/>
            </a:ext>
          </a:extLst>
        </xdr:cNvPr>
        <xdr:cNvCxnSpPr>
          <a:endCxn id="198" idx="1"/>
        </xdr:cNvCxnSpPr>
      </xdr:nvCxnSpPr>
      <xdr:spPr>
        <a:xfrm>
          <a:off x="19773900" y="5303520"/>
          <a:ext cx="586740" cy="289560"/>
        </a:xfrm>
        <a:prstGeom prst="bentConnector3">
          <a:avLst/>
        </a:prstGeom>
        <a:ln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9</xdr:row>
      <xdr:rowOff>68580</xdr:rowOff>
    </xdr:from>
    <xdr:to>
      <xdr:col>8</xdr:col>
      <xdr:colOff>1104900</xdr:colOff>
      <xdr:row>9</xdr:row>
      <xdr:rowOff>255270</xdr:rowOff>
    </xdr:to>
    <xdr:sp macro="" textlink="">
      <xdr:nvSpPr>
        <xdr:cNvPr id="205" name="Left Brace 204">
          <a:extLst>
            <a:ext uri="{FF2B5EF4-FFF2-40B4-BE49-F238E27FC236}">
              <a16:creationId xmlns:a16="http://schemas.microsoft.com/office/drawing/2014/main" id="{DD843D24-CA26-A566-1954-34C839D453BE}"/>
            </a:ext>
          </a:extLst>
        </xdr:cNvPr>
        <xdr:cNvSpPr/>
      </xdr:nvSpPr>
      <xdr:spPr>
        <a:xfrm rot="16200000">
          <a:off x="9597390" y="2080260"/>
          <a:ext cx="186690" cy="1085850"/>
        </a:xfrm>
        <a:prstGeom prst="leftBrace">
          <a:avLst/>
        </a:prstGeom>
        <a:ln w="127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49530</xdr:colOff>
      <xdr:row>9</xdr:row>
      <xdr:rowOff>76200</xdr:rowOff>
    </xdr:from>
    <xdr:to>
      <xdr:col>10</xdr:col>
      <xdr:colOff>1424940</xdr:colOff>
      <xdr:row>9</xdr:row>
      <xdr:rowOff>243840</xdr:rowOff>
    </xdr:to>
    <xdr:sp macro="" textlink="">
      <xdr:nvSpPr>
        <xdr:cNvPr id="206" name="Left Brace 205">
          <a:extLst>
            <a:ext uri="{FF2B5EF4-FFF2-40B4-BE49-F238E27FC236}">
              <a16:creationId xmlns:a16="http://schemas.microsoft.com/office/drawing/2014/main" id="{AF5FBFA8-8318-4AAA-934E-AB8940FEA131}"/>
            </a:ext>
          </a:extLst>
        </xdr:cNvPr>
        <xdr:cNvSpPr/>
      </xdr:nvSpPr>
      <xdr:spPr>
        <a:xfrm rot="16200000">
          <a:off x="11405235" y="1430655"/>
          <a:ext cx="167640" cy="2381250"/>
        </a:xfrm>
        <a:prstGeom prst="leftBrace">
          <a:avLst/>
        </a:prstGeom>
        <a:ln w="127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1051560</xdr:colOff>
      <xdr:row>24</xdr:row>
      <xdr:rowOff>137160</xdr:rowOff>
    </xdr:from>
    <xdr:to>
      <xdr:col>19</xdr:col>
      <xdr:colOff>784860</xdr:colOff>
      <xdr:row>27</xdr:row>
      <xdr:rowOff>7620</xdr:rowOff>
    </xdr:to>
    <xdr:sp macro="" textlink="">
      <xdr:nvSpPr>
        <xdr:cNvPr id="209" name="Arrow: Right 208">
          <a:extLst>
            <a:ext uri="{FF2B5EF4-FFF2-40B4-BE49-F238E27FC236}">
              <a16:creationId xmlns:a16="http://schemas.microsoft.com/office/drawing/2014/main" id="{53705D24-DB95-D4B0-16F6-3B5678E0A03C}"/>
            </a:ext>
          </a:extLst>
        </xdr:cNvPr>
        <xdr:cNvSpPr/>
      </xdr:nvSpPr>
      <xdr:spPr>
        <a:xfrm>
          <a:off x="23134320" y="6637020"/>
          <a:ext cx="1569720" cy="678180"/>
        </a:xfrm>
        <a:prstGeom prst="rightArrow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20</xdr:col>
      <xdr:colOff>777240</xdr:colOff>
      <xdr:row>8</xdr:row>
      <xdr:rowOff>22860</xdr:rowOff>
    </xdr:from>
    <xdr:to>
      <xdr:col>25</xdr:col>
      <xdr:colOff>203155</xdr:colOff>
      <xdr:row>13</xdr:row>
      <xdr:rowOff>99158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F0B5DBD0-EED4-AE82-48D3-236093045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029920" y="2209800"/>
          <a:ext cx="7038295" cy="1432658"/>
        </a:xfrm>
        <a:prstGeom prst="rect">
          <a:avLst/>
        </a:prstGeom>
      </xdr:spPr>
    </xdr:pic>
    <xdr:clientData/>
  </xdr:twoCellAnchor>
  <xdr:twoCellAnchor editAs="oneCell">
    <xdr:from>
      <xdr:col>26</xdr:col>
      <xdr:colOff>601980</xdr:colOff>
      <xdr:row>14</xdr:row>
      <xdr:rowOff>129540</xdr:rowOff>
    </xdr:from>
    <xdr:to>
      <xdr:col>34</xdr:col>
      <xdr:colOff>305222</xdr:colOff>
      <xdr:row>19</xdr:row>
      <xdr:rowOff>198242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E0E5A9F4-F424-45F1-95E2-EF812969AC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626"/>
        <a:stretch/>
      </xdr:blipFill>
      <xdr:spPr>
        <a:xfrm>
          <a:off x="34251900" y="3939540"/>
          <a:ext cx="4839122" cy="1409822"/>
        </a:xfrm>
        <a:prstGeom prst="rect">
          <a:avLst/>
        </a:prstGeom>
        <a:ln w="38100"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26</xdr:col>
      <xdr:colOff>601980</xdr:colOff>
      <xdr:row>20</xdr:row>
      <xdr:rowOff>53341</xdr:rowOff>
    </xdr:from>
    <xdr:to>
      <xdr:col>34</xdr:col>
      <xdr:colOff>328085</xdr:colOff>
      <xdr:row>22</xdr:row>
      <xdr:rowOff>198121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63046431-8F63-70ED-C9C9-8F60918B9C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778" t="4082" b="5110"/>
        <a:stretch/>
      </xdr:blipFill>
      <xdr:spPr>
        <a:xfrm>
          <a:off x="34251900" y="5478781"/>
          <a:ext cx="4861985" cy="678180"/>
        </a:xfrm>
        <a:prstGeom prst="rect">
          <a:avLst/>
        </a:prstGeom>
        <a:ln w="38100">
          <a:solidFill>
            <a:schemeClr val="accent6">
              <a:lumMod val="75000"/>
            </a:schemeClr>
          </a:solidFill>
        </a:ln>
      </xdr:spPr>
    </xdr:pic>
    <xdr:clientData/>
  </xdr:twoCellAnchor>
  <xdr:twoCellAnchor editAs="oneCell">
    <xdr:from>
      <xdr:col>26</xdr:col>
      <xdr:colOff>586740</xdr:colOff>
      <xdr:row>23</xdr:row>
      <xdr:rowOff>38100</xdr:rowOff>
    </xdr:from>
    <xdr:to>
      <xdr:col>34</xdr:col>
      <xdr:colOff>289982</xdr:colOff>
      <xdr:row>25</xdr:row>
      <xdr:rowOff>198181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4044B274-8D68-5F13-E0B9-0C83FCD5DA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626" t="2151"/>
        <a:stretch/>
      </xdr:blipFill>
      <xdr:spPr>
        <a:xfrm>
          <a:off x="34236660" y="6271260"/>
          <a:ext cx="4839122" cy="693481"/>
        </a:xfrm>
        <a:prstGeom prst="rect">
          <a:avLst/>
        </a:prstGeom>
        <a:ln w="28575">
          <a:solidFill>
            <a:schemeClr val="accent4">
              <a:lumMod val="60000"/>
              <a:lumOff val="40000"/>
            </a:schemeClr>
          </a:solidFill>
        </a:ln>
      </xdr:spPr>
    </xdr:pic>
    <xdr:clientData/>
  </xdr:twoCellAnchor>
  <xdr:twoCellAnchor editAs="oneCell">
    <xdr:from>
      <xdr:col>26</xdr:col>
      <xdr:colOff>617220</xdr:colOff>
      <xdr:row>26</xdr:row>
      <xdr:rowOff>83820</xdr:rowOff>
    </xdr:from>
    <xdr:to>
      <xdr:col>34</xdr:col>
      <xdr:colOff>305221</xdr:colOff>
      <xdr:row>28</xdr:row>
      <xdr:rowOff>259142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83938D42-BE51-4969-C7F8-F6E6725289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628" t="1064"/>
        <a:stretch/>
      </xdr:blipFill>
      <xdr:spPr>
        <a:xfrm>
          <a:off x="34267140" y="7124700"/>
          <a:ext cx="4823881" cy="708722"/>
        </a:xfrm>
        <a:prstGeom prst="rect">
          <a:avLst/>
        </a:prstGeom>
        <a:ln w="38100">
          <a:solidFill>
            <a:schemeClr val="accent5">
              <a:lumMod val="60000"/>
              <a:lumOff val="40000"/>
            </a:schemeClr>
          </a:solidFill>
        </a:ln>
      </xdr:spPr>
    </xdr:pic>
    <xdr:clientData/>
  </xdr:twoCellAnchor>
  <xdr:twoCellAnchor editAs="oneCell">
    <xdr:from>
      <xdr:col>26</xdr:col>
      <xdr:colOff>586740</xdr:colOff>
      <xdr:row>29</xdr:row>
      <xdr:rowOff>99060</xdr:rowOff>
    </xdr:from>
    <xdr:to>
      <xdr:col>34</xdr:col>
      <xdr:colOff>267117</xdr:colOff>
      <xdr:row>31</xdr:row>
      <xdr:rowOff>266762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D01B52C3-4460-9724-95DB-5E89FF849D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t="2127"/>
        <a:stretch/>
      </xdr:blipFill>
      <xdr:spPr>
        <a:xfrm>
          <a:off x="34236660" y="7947660"/>
          <a:ext cx="4816257" cy="701102"/>
        </a:xfrm>
        <a:prstGeom prst="rect">
          <a:avLst/>
        </a:prstGeom>
        <a:ln w="28575">
          <a:solidFill>
            <a:schemeClr val="accent2">
              <a:lumMod val="60000"/>
              <a:lumOff val="40000"/>
            </a:schemeClr>
          </a:solidFill>
        </a:ln>
      </xdr:spPr>
    </xdr:pic>
    <xdr:clientData/>
  </xdr:twoCellAnchor>
  <xdr:twoCellAnchor editAs="oneCell">
    <xdr:from>
      <xdr:col>26</xdr:col>
      <xdr:colOff>601980</xdr:colOff>
      <xdr:row>32</xdr:row>
      <xdr:rowOff>121920</xdr:rowOff>
    </xdr:from>
    <xdr:to>
      <xdr:col>34</xdr:col>
      <xdr:colOff>259498</xdr:colOff>
      <xdr:row>35</xdr:row>
      <xdr:rowOff>7682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7BF82B1-6494-C3A8-59DB-EB81957CB7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632" t="3191"/>
        <a:stretch/>
      </xdr:blipFill>
      <xdr:spPr>
        <a:xfrm>
          <a:off x="34251900" y="8778240"/>
          <a:ext cx="4793398" cy="693482"/>
        </a:xfrm>
        <a:prstGeom prst="rect">
          <a:avLst/>
        </a:prstGeom>
        <a:ln w="28575">
          <a:solidFill>
            <a:schemeClr val="tx2">
              <a:lumMod val="60000"/>
              <a:lumOff val="40000"/>
            </a:schemeClr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598714</xdr:colOff>
      <xdr:row>13</xdr:row>
      <xdr:rowOff>155512</xdr:rowOff>
    </xdr:from>
    <xdr:to>
      <xdr:col>2</xdr:col>
      <xdr:colOff>1337386</xdr:colOff>
      <xdr:row>17</xdr:row>
      <xdr:rowOff>7774</xdr:rowOff>
    </xdr:to>
    <xdr:grpSp>
      <xdr:nvGrpSpPr>
        <xdr:cNvPr id="108" name="Group 107">
          <a:extLst>
            <a:ext uri="{FF2B5EF4-FFF2-40B4-BE49-F238E27FC236}">
              <a16:creationId xmlns:a16="http://schemas.microsoft.com/office/drawing/2014/main" id="{EA7E8941-CDEB-D948-1A93-E56CD83DC382}"/>
            </a:ext>
          </a:extLst>
        </xdr:cNvPr>
        <xdr:cNvGrpSpPr/>
      </xdr:nvGrpSpPr>
      <xdr:grpSpPr>
        <a:xfrm>
          <a:off x="598714" y="3683650"/>
          <a:ext cx="2701988" cy="824201"/>
          <a:chOff x="552061" y="3864431"/>
          <a:chExt cx="2760305" cy="925282"/>
        </a:xfrm>
      </xdr:grpSpPr>
      <xdr:grpSp>
        <xdr:nvGrpSpPr>
          <xdr:cNvPr id="65" name="Group 64">
            <a:extLst>
              <a:ext uri="{FF2B5EF4-FFF2-40B4-BE49-F238E27FC236}">
                <a16:creationId xmlns:a16="http://schemas.microsoft.com/office/drawing/2014/main" id="{6B22E863-C726-8F3D-E7BF-0B8BD2DF44CB}"/>
              </a:ext>
            </a:extLst>
          </xdr:cNvPr>
          <xdr:cNvGrpSpPr/>
        </xdr:nvGrpSpPr>
        <xdr:grpSpPr>
          <a:xfrm>
            <a:off x="552061" y="3864431"/>
            <a:ext cx="2760305" cy="925282"/>
            <a:chOff x="1010817" y="3491206"/>
            <a:chExt cx="2760305" cy="925282"/>
          </a:xfrm>
        </xdr:grpSpPr>
        <xdr:grpSp>
          <xdr:nvGrpSpPr>
            <xdr:cNvPr id="19" name="Group 18">
              <a:extLst>
                <a:ext uri="{FF2B5EF4-FFF2-40B4-BE49-F238E27FC236}">
                  <a16:creationId xmlns:a16="http://schemas.microsoft.com/office/drawing/2014/main" id="{80CED00E-C57B-9DAE-991B-4F1D3C2C81D1}"/>
                </a:ext>
              </a:extLst>
            </xdr:cNvPr>
            <xdr:cNvGrpSpPr/>
          </xdr:nvGrpSpPr>
          <xdr:grpSpPr>
            <a:xfrm>
              <a:off x="1010817" y="3491206"/>
              <a:ext cx="2760305" cy="925282"/>
              <a:chOff x="998375" y="1862540"/>
              <a:chExt cx="3442996" cy="1226125"/>
            </a:xfrm>
          </xdr:grpSpPr>
          <xdr:sp macro="" textlink="">
            <xdr:nvSpPr>
              <xdr:cNvPr id="22" name="Rectangle: Rounded Corners 21">
                <a:extLst>
                  <a:ext uri="{FF2B5EF4-FFF2-40B4-BE49-F238E27FC236}">
                    <a16:creationId xmlns:a16="http://schemas.microsoft.com/office/drawing/2014/main" id="{091E5069-BD2D-5911-3CBD-D184C65DD6F8}"/>
                  </a:ext>
                </a:extLst>
              </xdr:cNvPr>
              <xdr:cNvSpPr/>
            </xdr:nvSpPr>
            <xdr:spPr>
              <a:xfrm>
                <a:off x="998375" y="1862540"/>
                <a:ext cx="3442996" cy="1226125"/>
              </a:xfrm>
              <a:prstGeom prst="roundRect">
                <a:avLst>
                  <a:gd name="adj" fmla="val 7521"/>
                </a:avLst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grpSp>
            <xdr:nvGrpSpPr>
              <xdr:cNvPr id="23" name="Group 22">
                <a:extLst>
                  <a:ext uri="{FF2B5EF4-FFF2-40B4-BE49-F238E27FC236}">
                    <a16:creationId xmlns:a16="http://schemas.microsoft.com/office/drawing/2014/main" id="{EFB44037-F27A-F11F-75C2-C34CE167EF30}"/>
                  </a:ext>
                </a:extLst>
              </xdr:cNvPr>
              <xdr:cNvGrpSpPr/>
            </xdr:nvGrpSpPr>
            <xdr:grpSpPr>
              <a:xfrm>
                <a:off x="1115223" y="1970661"/>
                <a:ext cx="2715209" cy="639475"/>
                <a:chOff x="270587" y="1970661"/>
                <a:chExt cx="2715209" cy="639475"/>
              </a:xfrm>
            </xdr:grpSpPr>
            <xdr:pic>
              <xdr:nvPicPr>
                <xdr:cNvPr id="24" name="Picture 23">
                  <a:extLst>
                    <a:ext uri="{FF2B5EF4-FFF2-40B4-BE49-F238E27FC236}">
                      <a16:creationId xmlns:a16="http://schemas.microsoft.com/office/drawing/2014/main" id="{F4BB14A1-9317-DA2E-62F6-DCB0ABB85F13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b="51368"/>
                <a:stretch/>
              </xdr:blipFill>
              <xdr:spPr>
                <a:xfrm>
                  <a:off x="270587" y="1970661"/>
                  <a:ext cx="2715209" cy="319107"/>
                </a:xfrm>
                <a:prstGeom prst="rect">
                  <a:avLst/>
                </a:prstGeom>
              </xdr:spPr>
            </xdr:pic>
            <xdr:pic>
              <xdr:nvPicPr>
                <xdr:cNvPr id="26" name="Picture 25">
                  <a:extLst>
                    <a:ext uri="{FF2B5EF4-FFF2-40B4-BE49-F238E27FC236}">
                      <a16:creationId xmlns:a16="http://schemas.microsoft.com/office/drawing/2014/main" id="{67AC4473-DB51-82A0-59F0-63A33DDD33CF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2"/>
                <a:srcRect l="-468" t="50000" r="468" b="4974"/>
                <a:stretch/>
              </xdr:blipFill>
              <xdr:spPr>
                <a:xfrm>
                  <a:off x="279552" y="2291029"/>
                  <a:ext cx="2690093" cy="319107"/>
                </a:xfrm>
                <a:prstGeom prst="rect">
                  <a:avLst/>
                </a:prstGeom>
              </xdr:spPr>
            </xdr:pic>
          </xdr:grpSp>
        </xdr:grpSp>
        <xdr:pic>
          <xdr:nvPicPr>
            <xdr:cNvPr id="57" name="Picture 56">
              <a:extLst>
                <a:ext uri="{FF2B5EF4-FFF2-40B4-BE49-F238E27FC236}">
                  <a16:creationId xmlns:a16="http://schemas.microsoft.com/office/drawing/2014/main" id="{5C407222-405B-4364-A4EE-07C57B670E1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247122" y="3592285"/>
              <a:ext cx="993535" cy="225645"/>
            </a:xfrm>
            <a:prstGeom prst="rect">
              <a:avLst/>
            </a:prstGeom>
          </xdr:spPr>
        </xdr:pic>
      </xdr:grpSp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F89055BB-E891-4840-8C41-BDEEE53AA9E0}"/>
              </a:ext>
            </a:extLst>
          </xdr:cNvPr>
          <xdr:cNvSpPr/>
        </xdr:nvSpPr>
        <xdr:spPr>
          <a:xfrm>
            <a:off x="1844041" y="4485069"/>
            <a:ext cx="899160" cy="175260"/>
          </a:xfrm>
          <a:prstGeom prst="rect">
            <a:avLst/>
          </a:prstGeom>
          <a:solidFill>
            <a:schemeClr val="bg1"/>
          </a:solidFill>
          <a:ln>
            <a:solidFill>
              <a:schemeClr val="accent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1" name="TextBox 133">
            <a:extLst>
              <a:ext uri="{FF2B5EF4-FFF2-40B4-BE49-F238E27FC236}">
                <a16:creationId xmlns:a16="http://schemas.microsoft.com/office/drawing/2014/main" id="{3FE2A529-E91E-4560-B441-73B0853ADDFD}"/>
              </a:ext>
            </a:extLst>
          </xdr:cNvPr>
          <xdr:cNvSpPr txBox="1"/>
        </xdr:nvSpPr>
        <xdr:spPr>
          <a:xfrm>
            <a:off x="1905001" y="4416490"/>
            <a:ext cx="739140" cy="331309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400">
                <a:latin typeface="TH Sarabun New" panose="020B0500040200020003" pitchFamily="34" charset="-34"/>
                <a:cs typeface="TH Sarabun New" panose="020B0500040200020003" pitchFamily="34" charset="-34"/>
              </a:rPr>
              <a:t>F000048</a:t>
            </a: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E5D7866B-BF02-4EDD-AEBC-DD1BBD9A7EEB}"/>
              </a:ext>
            </a:extLst>
          </xdr:cNvPr>
          <xdr:cNvSpPr txBox="1"/>
        </xdr:nvSpPr>
        <xdr:spPr>
          <a:xfrm>
            <a:off x="1244082" y="4454902"/>
            <a:ext cx="678180" cy="2438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H Sarabun New" panose="020B0500040200020003" pitchFamily="34" charset="-34"/>
                <a:cs typeface="TH Sarabun New" panose="020B0500040200020003" pitchFamily="34" charset="-34"/>
              </a:rPr>
              <a:t>F</a:t>
            </a:r>
            <a:r>
              <a:rPr lang="en-US" sz="1200" b="1" baseline="0">
                <a:latin typeface="TH Sarabun New" panose="020B0500040200020003" pitchFamily="34" charset="-34"/>
                <a:cs typeface="TH Sarabun New" panose="020B0500040200020003" pitchFamily="34" charset="-34"/>
              </a:rPr>
              <a:t> Code</a:t>
            </a:r>
            <a:endParaRPr lang="en-US" sz="1200" b="1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  <xdr:pic>
        <xdr:nvPicPr>
          <xdr:cNvPr id="73" name="Picture 72">
            <a:extLst>
              <a:ext uri="{FF2B5EF4-FFF2-40B4-BE49-F238E27FC236}">
                <a16:creationId xmlns:a16="http://schemas.microsoft.com/office/drawing/2014/main" id="{1F644E7B-E5AF-4D09-B70D-6503CC20FB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781301" y="4462210"/>
            <a:ext cx="346524" cy="20115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598717</xdr:colOff>
      <xdr:row>17</xdr:row>
      <xdr:rowOff>93307</xdr:rowOff>
    </xdr:from>
    <xdr:to>
      <xdr:col>2</xdr:col>
      <xdr:colOff>1345166</xdr:colOff>
      <xdr:row>22</xdr:row>
      <xdr:rowOff>93306</xdr:rowOff>
    </xdr:to>
    <xdr:grpSp>
      <xdr:nvGrpSpPr>
        <xdr:cNvPr id="109" name="Group 108">
          <a:extLst>
            <a:ext uri="{FF2B5EF4-FFF2-40B4-BE49-F238E27FC236}">
              <a16:creationId xmlns:a16="http://schemas.microsoft.com/office/drawing/2014/main" id="{5E24795B-FA22-179E-05AD-2AF10E8FAB43}"/>
            </a:ext>
          </a:extLst>
        </xdr:cNvPr>
        <xdr:cNvGrpSpPr/>
      </xdr:nvGrpSpPr>
      <xdr:grpSpPr>
        <a:xfrm>
          <a:off x="598717" y="4593384"/>
          <a:ext cx="2709765" cy="1214922"/>
          <a:chOff x="544288" y="5061857"/>
          <a:chExt cx="2768082" cy="1337387"/>
        </a:xfrm>
      </xdr:grpSpPr>
      <xdr:grpSp>
        <xdr:nvGrpSpPr>
          <xdr:cNvPr id="66" name="Group 65">
            <a:extLst>
              <a:ext uri="{FF2B5EF4-FFF2-40B4-BE49-F238E27FC236}">
                <a16:creationId xmlns:a16="http://schemas.microsoft.com/office/drawing/2014/main" id="{0E3A2ECC-A282-1D6E-32C0-717E59DDC99C}"/>
              </a:ext>
            </a:extLst>
          </xdr:cNvPr>
          <xdr:cNvGrpSpPr/>
        </xdr:nvGrpSpPr>
        <xdr:grpSpPr>
          <a:xfrm>
            <a:off x="544288" y="5061857"/>
            <a:ext cx="2768082" cy="1337387"/>
            <a:chOff x="3887756" y="3498980"/>
            <a:chExt cx="2768082" cy="1337387"/>
          </a:xfrm>
        </xdr:grpSpPr>
        <xdr:grpSp>
          <xdr:nvGrpSpPr>
            <xdr:cNvPr id="28" name="Group 27">
              <a:extLst>
                <a:ext uri="{FF2B5EF4-FFF2-40B4-BE49-F238E27FC236}">
                  <a16:creationId xmlns:a16="http://schemas.microsoft.com/office/drawing/2014/main" id="{10B8D6BF-A5BB-D099-4A17-41509B186E98}"/>
                </a:ext>
              </a:extLst>
            </xdr:cNvPr>
            <xdr:cNvGrpSpPr/>
          </xdr:nvGrpSpPr>
          <xdr:grpSpPr>
            <a:xfrm>
              <a:off x="3887756" y="3498980"/>
              <a:ext cx="2768082" cy="1337387"/>
              <a:chOff x="998375" y="1862541"/>
              <a:chExt cx="3442996" cy="1659653"/>
            </a:xfrm>
          </xdr:grpSpPr>
          <xdr:sp macro="" textlink="">
            <xdr:nvSpPr>
              <xdr:cNvPr id="30" name="Rectangle: Rounded Corners 29">
                <a:extLst>
                  <a:ext uri="{FF2B5EF4-FFF2-40B4-BE49-F238E27FC236}">
                    <a16:creationId xmlns:a16="http://schemas.microsoft.com/office/drawing/2014/main" id="{F3B61073-480D-21FD-3565-00534D12A164}"/>
                  </a:ext>
                </a:extLst>
              </xdr:cNvPr>
              <xdr:cNvSpPr/>
            </xdr:nvSpPr>
            <xdr:spPr>
              <a:xfrm>
                <a:off x="998375" y="1862541"/>
                <a:ext cx="3442996" cy="1659653"/>
              </a:xfrm>
              <a:prstGeom prst="roundRect">
                <a:avLst>
                  <a:gd name="adj" fmla="val 7521"/>
                </a:avLst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pic>
            <xdr:nvPicPr>
              <xdr:cNvPr id="31" name="Picture 30">
                <a:extLst>
                  <a:ext uri="{FF2B5EF4-FFF2-40B4-BE49-F238E27FC236}">
                    <a16:creationId xmlns:a16="http://schemas.microsoft.com/office/drawing/2014/main" id="{5956BD8A-F960-102B-4BA8-D8CE78C96B59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"/>
              <a:srcRect b="51368"/>
              <a:stretch/>
            </xdr:blipFill>
            <xdr:spPr>
              <a:xfrm>
                <a:off x="1115223" y="1970661"/>
                <a:ext cx="2715210" cy="319107"/>
              </a:xfrm>
              <a:prstGeom prst="rect">
                <a:avLst/>
              </a:prstGeom>
            </xdr:spPr>
          </xdr:pic>
        </xdr:grpSp>
        <xdr:pic>
          <xdr:nvPicPr>
            <xdr:cNvPr id="39" name="Picture 38">
              <a:extLst>
                <a:ext uri="{FF2B5EF4-FFF2-40B4-BE49-F238E27FC236}">
                  <a16:creationId xmlns:a16="http://schemas.microsoft.com/office/drawing/2014/main" id="{5078D841-ADB8-4336-8016-D5970AAD1D6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688633" y="3825553"/>
              <a:ext cx="1484311" cy="245005"/>
            </a:xfrm>
            <a:prstGeom prst="rect">
              <a:avLst/>
            </a:prstGeom>
          </xdr:spPr>
        </xdr:pic>
        <xdr:pic>
          <xdr:nvPicPr>
            <xdr:cNvPr id="53" name="Picture 52">
              <a:extLst>
                <a:ext uri="{FF2B5EF4-FFF2-40B4-BE49-F238E27FC236}">
                  <a16:creationId xmlns:a16="http://schemas.microsoft.com/office/drawing/2014/main" id="{8011DA40-2003-4337-B5BF-92F7A9AD13C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128726" y="3596951"/>
              <a:ext cx="985153" cy="215809"/>
            </a:xfrm>
            <a:prstGeom prst="rect">
              <a:avLst/>
            </a:prstGeom>
          </xdr:spPr>
        </xdr:pic>
      </xdr:grp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15771904-B56C-432E-BDBB-00C6ADFB696D}"/>
              </a:ext>
            </a:extLst>
          </xdr:cNvPr>
          <xdr:cNvSpPr txBox="1"/>
        </xdr:nvSpPr>
        <xdr:spPr>
          <a:xfrm>
            <a:off x="1267408" y="5613761"/>
            <a:ext cx="678180" cy="2438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H Sarabun New" panose="020B0500040200020003" pitchFamily="34" charset="-34"/>
                <a:cs typeface="TH Sarabun New" panose="020B0500040200020003" pitchFamily="34" charset="-34"/>
              </a:rPr>
              <a:t>F</a:t>
            </a:r>
            <a:r>
              <a:rPr lang="en-US" sz="1200" b="1" baseline="0">
                <a:latin typeface="TH Sarabun New" panose="020B0500040200020003" pitchFamily="34" charset="-34"/>
                <a:cs typeface="TH Sarabun New" panose="020B0500040200020003" pitchFamily="34" charset="-34"/>
              </a:rPr>
              <a:t> Code</a:t>
            </a:r>
            <a:endParaRPr lang="en-US" sz="1200" b="1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  <xdr:pic>
        <xdr:nvPicPr>
          <xdr:cNvPr id="75" name="Picture 74">
            <a:extLst>
              <a:ext uri="{FF2B5EF4-FFF2-40B4-BE49-F238E27FC236}">
                <a16:creationId xmlns:a16="http://schemas.microsoft.com/office/drawing/2014/main" id="{1C2A5774-59A0-4F0A-8804-2B62F36B41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796851" y="5682653"/>
            <a:ext cx="346524" cy="201153"/>
          </a:xfrm>
          <a:prstGeom prst="rect">
            <a:avLst/>
          </a:prstGeom>
        </xdr:spPr>
      </xdr:pic>
      <xdr:sp macro="" textlink="">
        <xdr:nvSpPr>
          <xdr:cNvPr id="76" name="Rectangle 75">
            <a:extLst>
              <a:ext uri="{FF2B5EF4-FFF2-40B4-BE49-F238E27FC236}">
                <a16:creationId xmlns:a16="http://schemas.microsoft.com/office/drawing/2014/main" id="{7EF5ED20-B2F2-4D86-B3FA-7FEE9F48D89E}"/>
              </a:ext>
            </a:extLst>
          </xdr:cNvPr>
          <xdr:cNvSpPr/>
        </xdr:nvSpPr>
        <xdr:spPr>
          <a:xfrm>
            <a:off x="1874831" y="5690272"/>
            <a:ext cx="899160" cy="175260"/>
          </a:xfrm>
          <a:prstGeom prst="rect">
            <a:avLst/>
          </a:prstGeom>
          <a:solidFill>
            <a:schemeClr val="bg1"/>
          </a:solidFill>
          <a:ln>
            <a:solidFill>
              <a:schemeClr val="accent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7" name="TextBox 133">
            <a:extLst>
              <a:ext uri="{FF2B5EF4-FFF2-40B4-BE49-F238E27FC236}">
                <a16:creationId xmlns:a16="http://schemas.microsoft.com/office/drawing/2014/main" id="{84FD4FA1-101E-4300-B843-79FFCEF648AE}"/>
              </a:ext>
            </a:extLst>
          </xdr:cNvPr>
          <xdr:cNvSpPr txBox="1"/>
        </xdr:nvSpPr>
        <xdr:spPr>
          <a:xfrm>
            <a:off x="1935791" y="5621693"/>
            <a:ext cx="739140" cy="331309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400">
                <a:latin typeface="TH Sarabun New" panose="020B0500040200020003" pitchFamily="34" charset="-34"/>
                <a:cs typeface="TH Sarabun New" panose="020B0500040200020003" pitchFamily="34" charset="-34"/>
              </a:rPr>
              <a:t>F000048</a:t>
            </a:r>
          </a:p>
        </xdr:txBody>
      </xdr:sp>
      <xdr:pic>
        <xdr:nvPicPr>
          <xdr:cNvPr id="78" name="Picture 77">
            <a:extLst>
              <a:ext uri="{FF2B5EF4-FFF2-40B4-BE49-F238E27FC236}">
                <a16:creationId xmlns:a16="http://schemas.microsoft.com/office/drawing/2014/main" id="{DB8BBB5F-0BEF-46DC-A470-6B588A0D18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2796851" y="5903633"/>
            <a:ext cx="332646" cy="176767"/>
          </a:xfrm>
          <a:prstGeom prst="rect">
            <a:avLst/>
          </a:prstGeom>
        </xdr:spPr>
      </xdr:pic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3059A5CA-A630-480C-8CEF-AF8E8E6FFC02}"/>
              </a:ext>
            </a:extLst>
          </xdr:cNvPr>
          <xdr:cNvSpPr/>
        </xdr:nvSpPr>
        <xdr:spPr>
          <a:xfrm>
            <a:off x="1874831" y="5903633"/>
            <a:ext cx="899160" cy="175260"/>
          </a:xfrm>
          <a:prstGeom prst="rect">
            <a:avLst/>
          </a:prstGeom>
          <a:solidFill>
            <a:schemeClr val="bg1"/>
          </a:solidFill>
          <a:ln>
            <a:solidFill>
              <a:schemeClr val="accent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0" name="TextBox 133">
            <a:extLst>
              <a:ext uri="{FF2B5EF4-FFF2-40B4-BE49-F238E27FC236}">
                <a16:creationId xmlns:a16="http://schemas.microsoft.com/office/drawing/2014/main" id="{39D3194B-E38E-4AFA-A340-4B61160B5F64}"/>
              </a:ext>
            </a:extLst>
          </xdr:cNvPr>
          <xdr:cNvSpPr txBox="1"/>
        </xdr:nvSpPr>
        <xdr:spPr>
          <a:xfrm>
            <a:off x="1943411" y="5835053"/>
            <a:ext cx="739140" cy="331309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400">
                <a:latin typeface="TH Sarabun New" panose="020B0500040200020003" pitchFamily="34" charset="-34"/>
                <a:cs typeface="TH Sarabun New" panose="020B0500040200020003" pitchFamily="34" charset="-34"/>
              </a:rPr>
              <a:t>F000053</a:t>
            </a:r>
          </a:p>
        </xdr:txBody>
      </xdr:sp>
      <xdr:pic>
        <xdr:nvPicPr>
          <xdr:cNvPr id="81" name="Picture 80">
            <a:extLst>
              <a:ext uri="{FF2B5EF4-FFF2-40B4-BE49-F238E27FC236}">
                <a16:creationId xmlns:a16="http://schemas.microsoft.com/office/drawing/2014/main" id="{DFD88660-F542-43B5-A734-7D7E5554AD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2804471" y="6109374"/>
            <a:ext cx="332646" cy="176767"/>
          </a:xfrm>
          <a:prstGeom prst="rect">
            <a:avLst/>
          </a:prstGeom>
        </xdr:spPr>
      </xdr:pic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1CB0D110-4CAA-4D5A-BEFA-CB22A8DED50A}"/>
              </a:ext>
            </a:extLst>
          </xdr:cNvPr>
          <xdr:cNvSpPr/>
        </xdr:nvSpPr>
        <xdr:spPr>
          <a:xfrm>
            <a:off x="1874831" y="6116994"/>
            <a:ext cx="899160" cy="175260"/>
          </a:xfrm>
          <a:prstGeom prst="rect">
            <a:avLst/>
          </a:prstGeom>
          <a:solidFill>
            <a:schemeClr val="bg1"/>
          </a:solidFill>
          <a:ln>
            <a:solidFill>
              <a:schemeClr val="accent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3" name="TextBox 133">
            <a:extLst>
              <a:ext uri="{FF2B5EF4-FFF2-40B4-BE49-F238E27FC236}">
                <a16:creationId xmlns:a16="http://schemas.microsoft.com/office/drawing/2014/main" id="{9D5989F6-2A64-4B97-91A3-39EEE4328FF6}"/>
              </a:ext>
            </a:extLst>
          </xdr:cNvPr>
          <xdr:cNvSpPr txBox="1"/>
        </xdr:nvSpPr>
        <xdr:spPr>
          <a:xfrm>
            <a:off x="1943411" y="6048414"/>
            <a:ext cx="739140" cy="331309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400">
                <a:latin typeface="TH Sarabun New" panose="020B0500040200020003" pitchFamily="34" charset="-34"/>
                <a:cs typeface="TH Sarabun New" panose="020B0500040200020003" pitchFamily="34" charset="-34"/>
              </a:rPr>
              <a:t>F000062</a:t>
            </a:r>
          </a:p>
        </xdr:txBody>
      </xdr:sp>
    </xdr:grpSp>
    <xdr:clientData/>
  </xdr:twoCellAnchor>
  <xdr:twoCellAnchor>
    <xdr:from>
      <xdr:col>0</xdr:col>
      <xdr:colOff>629818</xdr:colOff>
      <xdr:row>22</xdr:row>
      <xdr:rowOff>194392</xdr:rowOff>
    </xdr:from>
    <xdr:to>
      <xdr:col>2</xdr:col>
      <xdr:colOff>1337388</xdr:colOff>
      <xdr:row>27</xdr:row>
      <xdr:rowOff>4193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632A223F-9BFD-4C8E-6A10-BF114F02F6DC}"/>
            </a:ext>
          </a:extLst>
        </xdr:cNvPr>
        <xdr:cNvGrpSpPr/>
      </xdr:nvGrpSpPr>
      <xdr:grpSpPr>
        <a:xfrm>
          <a:off x="629818" y="5909392"/>
          <a:ext cx="2670886" cy="1005286"/>
          <a:chOff x="544287" y="6500330"/>
          <a:chExt cx="2729203" cy="1139414"/>
        </a:xfrm>
      </xdr:grpSpPr>
      <xdr:grpSp>
        <xdr:nvGrpSpPr>
          <xdr:cNvPr id="64" name="Group 63">
            <a:extLst>
              <a:ext uri="{FF2B5EF4-FFF2-40B4-BE49-F238E27FC236}">
                <a16:creationId xmlns:a16="http://schemas.microsoft.com/office/drawing/2014/main" id="{F02D0B36-FA11-7A11-E834-1E9322FAB8B4}"/>
              </a:ext>
            </a:extLst>
          </xdr:cNvPr>
          <xdr:cNvGrpSpPr/>
        </xdr:nvGrpSpPr>
        <xdr:grpSpPr>
          <a:xfrm>
            <a:off x="544287" y="6500330"/>
            <a:ext cx="2729203" cy="1135222"/>
            <a:chOff x="3934409" y="4844147"/>
            <a:chExt cx="2729203" cy="1135222"/>
          </a:xfrm>
        </xdr:grpSpPr>
        <xdr:grpSp>
          <xdr:nvGrpSpPr>
            <xdr:cNvPr id="11" name="Group 10">
              <a:extLst>
                <a:ext uri="{FF2B5EF4-FFF2-40B4-BE49-F238E27FC236}">
                  <a16:creationId xmlns:a16="http://schemas.microsoft.com/office/drawing/2014/main" id="{B1320420-BADB-46E6-8C63-CCA9D98F3C5C}"/>
                </a:ext>
              </a:extLst>
            </xdr:cNvPr>
            <xdr:cNvGrpSpPr/>
          </xdr:nvGrpSpPr>
          <xdr:grpSpPr>
            <a:xfrm>
              <a:off x="3934409" y="4844147"/>
              <a:ext cx="2729203" cy="1135222"/>
              <a:chOff x="998375" y="3565088"/>
              <a:chExt cx="3442996" cy="1427409"/>
            </a:xfrm>
          </xdr:grpSpPr>
          <xdr:grpSp>
            <xdr:nvGrpSpPr>
              <xdr:cNvPr id="14" name="Group 13">
                <a:extLst>
                  <a:ext uri="{FF2B5EF4-FFF2-40B4-BE49-F238E27FC236}">
                    <a16:creationId xmlns:a16="http://schemas.microsoft.com/office/drawing/2014/main" id="{8C82F7FD-F446-06F4-B8BC-9B314CFA774E}"/>
                  </a:ext>
                </a:extLst>
              </xdr:cNvPr>
              <xdr:cNvGrpSpPr/>
            </xdr:nvGrpSpPr>
            <xdr:grpSpPr>
              <a:xfrm>
                <a:off x="998375" y="3565088"/>
                <a:ext cx="3442996" cy="1427409"/>
                <a:chOff x="998375" y="1862542"/>
                <a:chExt cx="3442996" cy="1427409"/>
              </a:xfrm>
            </xdr:grpSpPr>
            <xdr:sp macro="" textlink="">
              <xdr:nvSpPr>
                <xdr:cNvPr id="16" name="Rectangle: Rounded Corners 15">
                  <a:extLst>
                    <a:ext uri="{FF2B5EF4-FFF2-40B4-BE49-F238E27FC236}">
                      <a16:creationId xmlns:a16="http://schemas.microsoft.com/office/drawing/2014/main" id="{84294F40-006F-E3A3-AEFF-1B64137E2E25}"/>
                    </a:ext>
                  </a:extLst>
                </xdr:cNvPr>
                <xdr:cNvSpPr/>
              </xdr:nvSpPr>
              <xdr:spPr>
                <a:xfrm>
                  <a:off x="998375" y="1862542"/>
                  <a:ext cx="3442996" cy="1427409"/>
                </a:xfrm>
                <a:prstGeom prst="roundRect">
                  <a:avLst>
                    <a:gd name="adj" fmla="val 7521"/>
                  </a:avLst>
                </a:prstGeom>
                <a:solidFill>
                  <a:schemeClr val="bg1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  <xdr:pic>
              <xdr:nvPicPr>
                <xdr:cNvPr id="17" name="Picture 16">
                  <a:extLst>
                    <a:ext uri="{FF2B5EF4-FFF2-40B4-BE49-F238E27FC236}">
                      <a16:creationId xmlns:a16="http://schemas.microsoft.com/office/drawing/2014/main" id="{45F05D4C-85E4-1EA8-A03A-20AD4B544E56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b="51368"/>
                <a:stretch/>
              </xdr:blipFill>
              <xdr:spPr>
                <a:xfrm>
                  <a:off x="1115223" y="1970661"/>
                  <a:ext cx="2715209" cy="319107"/>
                </a:xfrm>
                <a:prstGeom prst="rect">
                  <a:avLst/>
                </a:prstGeom>
              </xdr:spPr>
            </xdr:pic>
          </xdr:grpSp>
          <xdr:pic>
            <xdr:nvPicPr>
              <xdr:cNvPr id="13" name="Picture 12">
                <a:extLst>
                  <a:ext uri="{FF2B5EF4-FFF2-40B4-BE49-F238E27FC236}">
                    <a16:creationId xmlns:a16="http://schemas.microsoft.com/office/drawing/2014/main" id="{14A8A002-6AF5-E082-E37F-2BF0D82A15E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"/>
              <a:stretch>
                <a:fillRect/>
              </a:stretch>
            </xdr:blipFill>
            <xdr:spPr>
              <a:xfrm>
                <a:off x="1199002" y="3662803"/>
                <a:ext cx="723963" cy="320068"/>
              </a:xfrm>
              <a:prstGeom prst="rect">
                <a:avLst/>
              </a:prstGeom>
            </xdr:spPr>
          </xdr:pic>
        </xdr:grpSp>
        <xdr:pic>
          <xdr:nvPicPr>
            <xdr:cNvPr id="40" name="Picture 39">
              <a:extLst>
                <a:ext uri="{FF2B5EF4-FFF2-40B4-BE49-F238E27FC236}">
                  <a16:creationId xmlns:a16="http://schemas.microsoft.com/office/drawing/2014/main" id="{8F9A7C94-4313-4E7B-928F-811B07C7333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688634" y="5201819"/>
              <a:ext cx="1449554" cy="235166"/>
            </a:xfrm>
            <a:prstGeom prst="rect">
              <a:avLst/>
            </a:prstGeom>
          </xdr:spPr>
        </xdr:pic>
        <xdr:pic>
          <xdr:nvPicPr>
            <xdr:cNvPr id="55" name="Picture 54">
              <a:extLst>
                <a:ext uri="{FF2B5EF4-FFF2-40B4-BE49-F238E27FC236}">
                  <a16:creationId xmlns:a16="http://schemas.microsoft.com/office/drawing/2014/main" id="{15514BB5-9B89-4517-AE48-46714B5629B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155164" y="4945224"/>
              <a:ext cx="992773" cy="215809"/>
            </a:xfrm>
            <a:prstGeom prst="rect">
              <a:avLst/>
            </a:prstGeom>
          </xdr:spPr>
        </xdr:pic>
      </xdr:grpSp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E962634D-45BD-484C-9036-FAC3CD89AA2B}"/>
              </a:ext>
            </a:extLst>
          </xdr:cNvPr>
          <xdr:cNvSpPr txBox="1"/>
        </xdr:nvSpPr>
        <xdr:spPr>
          <a:xfrm>
            <a:off x="1236307" y="7122265"/>
            <a:ext cx="678180" cy="2455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H Sarabun New" panose="020B0500040200020003" pitchFamily="34" charset="-34"/>
                <a:cs typeface="TH Sarabun New" panose="020B0500040200020003" pitchFamily="34" charset="-34"/>
              </a:rPr>
              <a:t>F</a:t>
            </a:r>
            <a:r>
              <a:rPr lang="en-US" sz="1200" b="1" baseline="0">
                <a:latin typeface="TH Sarabun New" panose="020B0500040200020003" pitchFamily="34" charset="-34"/>
                <a:cs typeface="TH Sarabun New" panose="020B0500040200020003" pitchFamily="34" charset="-34"/>
              </a:rPr>
              <a:t> Code</a:t>
            </a:r>
            <a:endParaRPr lang="en-US" sz="1200" b="1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  <xdr:pic>
        <xdr:nvPicPr>
          <xdr:cNvPr id="85" name="Picture 84">
            <a:extLst>
              <a:ext uri="{FF2B5EF4-FFF2-40B4-BE49-F238E27FC236}">
                <a16:creationId xmlns:a16="http://schemas.microsoft.com/office/drawing/2014/main" id="{4669276A-3F1C-4FD2-8EE0-27E91B3A1D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726872" y="7152652"/>
            <a:ext cx="346524" cy="202560"/>
          </a:xfrm>
          <a:prstGeom prst="rect">
            <a:avLst/>
          </a:prstGeom>
        </xdr:spPr>
      </xdr:pic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A76B1101-0697-4CE8-B63E-A8294B1EC13F}"/>
              </a:ext>
            </a:extLst>
          </xdr:cNvPr>
          <xdr:cNvSpPr/>
        </xdr:nvSpPr>
        <xdr:spPr>
          <a:xfrm>
            <a:off x="1804852" y="7160325"/>
            <a:ext cx="899160" cy="176486"/>
          </a:xfrm>
          <a:prstGeom prst="rect">
            <a:avLst/>
          </a:prstGeom>
          <a:solidFill>
            <a:schemeClr val="bg1"/>
          </a:solidFill>
          <a:ln>
            <a:solidFill>
              <a:schemeClr val="accent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7" name="TextBox 133">
            <a:extLst>
              <a:ext uri="{FF2B5EF4-FFF2-40B4-BE49-F238E27FC236}">
                <a16:creationId xmlns:a16="http://schemas.microsoft.com/office/drawing/2014/main" id="{BC956D77-4D26-44DE-84DC-75D65223A2FF}"/>
              </a:ext>
            </a:extLst>
          </xdr:cNvPr>
          <xdr:cNvSpPr txBox="1"/>
        </xdr:nvSpPr>
        <xdr:spPr>
          <a:xfrm>
            <a:off x="1865812" y="7091266"/>
            <a:ext cx="739140" cy="333626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400">
                <a:latin typeface="TH Sarabun New" panose="020B0500040200020003" pitchFamily="34" charset="-34"/>
                <a:cs typeface="TH Sarabun New" panose="020B0500040200020003" pitchFamily="34" charset="-34"/>
              </a:rPr>
              <a:t>F000053</a:t>
            </a:r>
          </a:p>
        </xdr:txBody>
      </xdr:sp>
      <xdr:pic>
        <xdr:nvPicPr>
          <xdr:cNvPr id="88" name="Picture 87">
            <a:extLst>
              <a:ext uri="{FF2B5EF4-FFF2-40B4-BE49-F238E27FC236}">
                <a16:creationId xmlns:a16="http://schemas.microsoft.com/office/drawing/2014/main" id="{9FB6122F-66AB-43EF-AE6E-F83906AA92F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2726872" y="7375178"/>
            <a:ext cx="332646" cy="178003"/>
          </a:xfrm>
          <a:prstGeom prst="rect">
            <a:avLst/>
          </a:prstGeom>
        </xdr:spPr>
      </xdr:pic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8FCF8EE6-7C38-42AD-B652-5F748553C59F}"/>
              </a:ext>
            </a:extLst>
          </xdr:cNvPr>
          <xdr:cNvSpPr/>
        </xdr:nvSpPr>
        <xdr:spPr>
          <a:xfrm>
            <a:off x="1804852" y="7375178"/>
            <a:ext cx="899160" cy="176486"/>
          </a:xfrm>
          <a:prstGeom prst="rect">
            <a:avLst/>
          </a:prstGeom>
          <a:solidFill>
            <a:schemeClr val="bg1"/>
          </a:solidFill>
          <a:ln>
            <a:solidFill>
              <a:schemeClr val="accent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0" name="TextBox 133">
            <a:extLst>
              <a:ext uri="{FF2B5EF4-FFF2-40B4-BE49-F238E27FC236}">
                <a16:creationId xmlns:a16="http://schemas.microsoft.com/office/drawing/2014/main" id="{AEE82AB5-5F86-42FC-BC2F-2A912B2D5557}"/>
              </a:ext>
            </a:extLst>
          </xdr:cNvPr>
          <xdr:cNvSpPr txBox="1"/>
        </xdr:nvSpPr>
        <xdr:spPr>
          <a:xfrm>
            <a:off x="1873432" y="7306118"/>
            <a:ext cx="739140" cy="333626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400">
                <a:latin typeface="TH Sarabun New" panose="020B0500040200020003" pitchFamily="34" charset="-34"/>
                <a:cs typeface="TH Sarabun New" panose="020B0500040200020003" pitchFamily="34" charset="-34"/>
              </a:rPr>
              <a:t>F000062</a:t>
            </a:r>
          </a:p>
        </xdr:txBody>
      </xdr:sp>
    </xdr:grpSp>
    <xdr:clientData/>
  </xdr:twoCellAnchor>
  <xdr:twoCellAnchor>
    <xdr:from>
      <xdr:col>3</xdr:col>
      <xdr:colOff>0</xdr:colOff>
      <xdr:row>13</xdr:row>
      <xdr:rowOff>155511</xdr:rowOff>
    </xdr:from>
    <xdr:to>
      <xdr:col>5</xdr:col>
      <xdr:colOff>645368</xdr:colOff>
      <xdr:row>17</xdr:row>
      <xdr:rowOff>155512</xdr:rowOff>
    </xdr:to>
    <xdr:grpSp>
      <xdr:nvGrpSpPr>
        <xdr:cNvPr id="111" name="Group 110">
          <a:extLst>
            <a:ext uri="{FF2B5EF4-FFF2-40B4-BE49-F238E27FC236}">
              <a16:creationId xmlns:a16="http://schemas.microsoft.com/office/drawing/2014/main" id="{E6C72944-D004-F4E4-13BD-E99CDB21D4AB}"/>
            </a:ext>
          </a:extLst>
        </xdr:cNvPr>
        <xdr:cNvGrpSpPr/>
      </xdr:nvGrpSpPr>
      <xdr:grpSpPr>
        <a:xfrm>
          <a:off x="3372628" y="3683649"/>
          <a:ext cx="2608684" cy="971940"/>
          <a:chOff x="3467878" y="3903307"/>
          <a:chExt cx="2667000" cy="1073021"/>
        </a:xfrm>
      </xdr:grpSpPr>
      <xdr:grpSp>
        <xdr:nvGrpSpPr>
          <xdr:cNvPr id="62" name="Group 61">
            <a:extLst>
              <a:ext uri="{FF2B5EF4-FFF2-40B4-BE49-F238E27FC236}">
                <a16:creationId xmlns:a16="http://schemas.microsoft.com/office/drawing/2014/main" id="{6AC9B633-4AB1-7E93-B5D1-BFB6EF000F5A}"/>
              </a:ext>
            </a:extLst>
          </xdr:cNvPr>
          <xdr:cNvGrpSpPr/>
        </xdr:nvGrpSpPr>
        <xdr:grpSpPr>
          <a:xfrm>
            <a:off x="3467878" y="3903307"/>
            <a:ext cx="2667000" cy="1073021"/>
            <a:chOff x="3973286" y="6173755"/>
            <a:chExt cx="2667000" cy="1073021"/>
          </a:xfrm>
        </xdr:grpSpPr>
        <xdr:grpSp>
          <xdr:nvGrpSpPr>
            <xdr:cNvPr id="41" name="Group 40">
              <a:extLst>
                <a:ext uri="{FF2B5EF4-FFF2-40B4-BE49-F238E27FC236}">
                  <a16:creationId xmlns:a16="http://schemas.microsoft.com/office/drawing/2014/main" id="{2073AD16-AC50-4784-B6D1-E77CA8945A1B}"/>
                </a:ext>
              </a:extLst>
            </xdr:cNvPr>
            <xdr:cNvGrpSpPr/>
          </xdr:nvGrpSpPr>
          <xdr:grpSpPr>
            <a:xfrm>
              <a:off x="3973286" y="6173755"/>
              <a:ext cx="2667000" cy="1073021"/>
              <a:chOff x="998375" y="3565087"/>
              <a:chExt cx="3442996" cy="1466945"/>
            </a:xfrm>
          </xdr:grpSpPr>
          <xdr:grpSp>
            <xdr:nvGrpSpPr>
              <xdr:cNvPr id="44" name="Group 43">
                <a:extLst>
                  <a:ext uri="{FF2B5EF4-FFF2-40B4-BE49-F238E27FC236}">
                    <a16:creationId xmlns:a16="http://schemas.microsoft.com/office/drawing/2014/main" id="{C5620F65-6B94-362C-2AFB-10928735292B}"/>
                  </a:ext>
                </a:extLst>
              </xdr:cNvPr>
              <xdr:cNvGrpSpPr/>
            </xdr:nvGrpSpPr>
            <xdr:grpSpPr>
              <a:xfrm>
                <a:off x="998375" y="3565087"/>
                <a:ext cx="3442996" cy="1466945"/>
                <a:chOff x="998375" y="1862541"/>
                <a:chExt cx="3442996" cy="1466945"/>
              </a:xfrm>
            </xdr:grpSpPr>
            <xdr:sp macro="" textlink="">
              <xdr:nvSpPr>
                <xdr:cNvPr id="47" name="Rectangle: Rounded Corners 46">
                  <a:extLst>
                    <a:ext uri="{FF2B5EF4-FFF2-40B4-BE49-F238E27FC236}">
                      <a16:creationId xmlns:a16="http://schemas.microsoft.com/office/drawing/2014/main" id="{E3B37414-9D0C-80FF-B4BC-8CE72518F4F3}"/>
                    </a:ext>
                  </a:extLst>
                </xdr:cNvPr>
                <xdr:cNvSpPr/>
              </xdr:nvSpPr>
              <xdr:spPr>
                <a:xfrm>
                  <a:off x="998375" y="1862541"/>
                  <a:ext cx="3442996" cy="1466945"/>
                </a:xfrm>
                <a:prstGeom prst="roundRect">
                  <a:avLst>
                    <a:gd name="adj" fmla="val 7521"/>
                  </a:avLst>
                </a:prstGeom>
                <a:solidFill>
                  <a:schemeClr val="bg1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US"/>
                </a:p>
              </xdr:txBody>
            </xdr:sp>
            <xdr:pic>
              <xdr:nvPicPr>
                <xdr:cNvPr id="49" name="Picture 48">
                  <a:extLst>
                    <a:ext uri="{FF2B5EF4-FFF2-40B4-BE49-F238E27FC236}">
                      <a16:creationId xmlns:a16="http://schemas.microsoft.com/office/drawing/2014/main" id="{9F899BEF-0C6C-61AA-1533-0C38324B5C8A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b="51368"/>
                <a:stretch/>
              </xdr:blipFill>
              <xdr:spPr>
                <a:xfrm>
                  <a:off x="1115223" y="1970661"/>
                  <a:ext cx="2715210" cy="319107"/>
                </a:xfrm>
                <a:prstGeom prst="rect">
                  <a:avLst/>
                </a:prstGeom>
              </xdr:spPr>
            </xdr:pic>
          </xdr:grpSp>
          <xdr:pic>
            <xdr:nvPicPr>
              <xdr:cNvPr id="43" name="Picture 42">
                <a:extLst>
                  <a:ext uri="{FF2B5EF4-FFF2-40B4-BE49-F238E27FC236}">
                    <a16:creationId xmlns:a16="http://schemas.microsoft.com/office/drawing/2014/main" id="{94040C0A-CC83-17C4-C542-834BD299484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"/>
              <a:stretch>
                <a:fillRect/>
              </a:stretch>
            </xdr:blipFill>
            <xdr:spPr>
              <a:xfrm>
                <a:off x="1199002" y="3662803"/>
                <a:ext cx="723963" cy="320068"/>
              </a:xfrm>
              <a:prstGeom prst="rect">
                <a:avLst/>
              </a:prstGeom>
            </xdr:spPr>
          </xdr:pic>
        </xdr:grpSp>
        <xdr:pic>
          <xdr:nvPicPr>
            <xdr:cNvPr id="51" name="Picture 50">
              <a:extLst>
                <a:ext uri="{FF2B5EF4-FFF2-40B4-BE49-F238E27FC236}">
                  <a16:creationId xmlns:a16="http://schemas.microsoft.com/office/drawing/2014/main" id="{7260B325-3380-4BAC-BD20-AF64AD8246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727510" y="6476999"/>
              <a:ext cx="1285987" cy="219094"/>
            </a:xfrm>
            <a:prstGeom prst="rect">
              <a:avLst/>
            </a:prstGeom>
          </xdr:spPr>
        </xdr:pic>
        <xdr:pic>
          <xdr:nvPicPr>
            <xdr:cNvPr id="59" name="Picture 58">
              <a:extLst>
                <a:ext uri="{FF2B5EF4-FFF2-40B4-BE49-F238E27FC236}">
                  <a16:creationId xmlns:a16="http://schemas.microsoft.com/office/drawing/2014/main" id="{30B48136-773C-4693-818F-6EBA537CE35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139612" y="6251510"/>
              <a:ext cx="984010" cy="225645"/>
            </a:xfrm>
            <a:prstGeom prst="rect">
              <a:avLst/>
            </a:prstGeom>
          </xdr:spPr>
        </xdr:pic>
      </xdr:grp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869DFB94-F071-4AD1-A389-D71C56633057}"/>
              </a:ext>
            </a:extLst>
          </xdr:cNvPr>
          <xdr:cNvSpPr txBox="1"/>
        </xdr:nvSpPr>
        <xdr:spPr>
          <a:xfrm>
            <a:off x="4144346" y="4431937"/>
            <a:ext cx="678180" cy="2455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H Sarabun New" panose="020B0500040200020003" pitchFamily="34" charset="-34"/>
                <a:cs typeface="TH Sarabun New" panose="020B0500040200020003" pitchFamily="34" charset="-34"/>
              </a:rPr>
              <a:t>F</a:t>
            </a:r>
            <a:r>
              <a:rPr lang="en-US" sz="1200" b="1" baseline="0">
                <a:latin typeface="TH Sarabun New" panose="020B0500040200020003" pitchFamily="34" charset="-34"/>
                <a:cs typeface="TH Sarabun New" panose="020B0500040200020003" pitchFamily="34" charset="-34"/>
              </a:rPr>
              <a:t> Code</a:t>
            </a:r>
            <a:endParaRPr lang="en-US" sz="1200" b="1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  <xdr:pic>
        <xdr:nvPicPr>
          <xdr:cNvPr id="92" name="Picture 91">
            <a:extLst>
              <a:ext uri="{FF2B5EF4-FFF2-40B4-BE49-F238E27FC236}">
                <a16:creationId xmlns:a16="http://schemas.microsoft.com/office/drawing/2014/main" id="{07615BDB-5366-49E1-8874-6E47DEAAA4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596034" y="4470100"/>
            <a:ext cx="346524" cy="202560"/>
          </a:xfrm>
          <a:prstGeom prst="rect">
            <a:avLst/>
          </a:prstGeom>
        </xdr:spPr>
      </xdr:pic>
      <xdr:sp macro="" textlink="">
        <xdr:nvSpPr>
          <xdr:cNvPr id="93" name="Rectangle 92">
            <a:extLst>
              <a:ext uri="{FF2B5EF4-FFF2-40B4-BE49-F238E27FC236}">
                <a16:creationId xmlns:a16="http://schemas.microsoft.com/office/drawing/2014/main" id="{F4CE44E8-4CF9-4C77-9EB8-4D8B9447A1C8}"/>
              </a:ext>
            </a:extLst>
          </xdr:cNvPr>
          <xdr:cNvSpPr/>
        </xdr:nvSpPr>
        <xdr:spPr>
          <a:xfrm>
            <a:off x="4674014" y="4477773"/>
            <a:ext cx="899160" cy="176486"/>
          </a:xfrm>
          <a:prstGeom prst="rect">
            <a:avLst/>
          </a:prstGeom>
          <a:solidFill>
            <a:schemeClr val="bg1"/>
          </a:solidFill>
          <a:ln>
            <a:solidFill>
              <a:schemeClr val="accent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4" name="TextBox 133">
            <a:extLst>
              <a:ext uri="{FF2B5EF4-FFF2-40B4-BE49-F238E27FC236}">
                <a16:creationId xmlns:a16="http://schemas.microsoft.com/office/drawing/2014/main" id="{0EA71283-CBDC-4FDA-B48D-B2912E30F4A3}"/>
              </a:ext>
            </a:extLst>
          </xdr:cNvPr>
          <xdr:cNvSpPr txBox="1"/>
        </xdr:nvSpPr>
        <xdr:spPr>
          <a:xfrm>
            <a:off x="4734974" y="4408714"/>
            <a:ext cx="739140" cy="333626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400">
                <a:latin typeface="TH Sarabun New" panose="020B0500040200020003" pitchFamily="34" charset="-34"/>
                <a:cs typeface="TH Sarabun New" panose="020B0500040200020003" pitchFamily="34" charset="-34"/>
              </a:rPr>
              <a:t>F000053</a:t>
            </a:r>
          </a:p>
        </xdr:txBody>
      </xdr:sp>
      <xdr:pic>
        <xdr:nvPicPr>
          <xdr:cNvPr id="95" name="Picture 94">
            <a:extLst>
              <a:ext uri="{FF2B5EF4-FFF2-40B4-BE49-F238E27FC236}">
                <a16:creationId xmlns:a16="http://schemas.microsoft.com/office/drawing/2014/main" id="{43E20213-0142-42E3-87F2-501122D5CE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5596034" y="4692626"/>
            <a:ext cx="332646" cy="178003"/>
          </a:xfrm>
          <a:prstGeom prst="rect">
            <a:avLst/>
          </a:prstGeom>
        </xdr:spPr>
      </xdr:pic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9434D3E0-E837-4317-8AD1-F92433938D42}"/>
              </a:ext>
            </a:extLst>
          </xdr:cNvPr>
          <xdr:cNvSpPr/>
        </xdr:nvSpPr>
        <xdr:spPr>
          <a:xfrm>
            <a:off x="4674014" y="4692626"/>
            <a:ext cx="899160" cy="176486"/>
          </a:xfrm>
          <a:prstGeom prst="rect">
            <a:avLst/>
          </a:prstGeom>
          <a:solidFill>
            <a:schemeClr val="bg1"/>
          </a:solidFill>
          <a:ln>
            <a:solidFill>
              <a:schemeClr val="accent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7" name="TextBox 133">
            <a:extLst>
              <a:ext uri="{FF2B5EF4-FFF2-40B4-BE49-F238E27FC236}">
                <a16:creationId xmlns:a16="http://schemas.microsoft.com/office/drawing/2014/main" id="{71850143-0B01-48F0-9C77-4D0FC4723490}"/>
              </a:ext>
            </a:extLst>
          </xdr:cNvPr>
          <xdr:cNvSpPr txBox="1"/>
        </xdr:nvSpPr>
        <xdr:spPr>
          <a:xfrm>
            <a:off x="4742594" y="4623566"/>
            <a:ext cx="739140" cy="333626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400">
                <a:latin typeface="TH Sarabun New" panose="020B0500040200020003" pitchFamily="34" charset="-34"/>
                <a:cs typeface="TH Sarabun New" panose="020B0500040200020003" pitchFamily="34" charset="-34"/>
              </a:rPr>
              <a:t>F000061</a:t>
            </a:r>
          </a:p>
        </xdr:txBody>
      </xdr:sp>
    </xdr:grpSp>
    <xdr:clientData/>
  </xdr:twoCellAnchor>
  <xdr:twoCellAnchor>
    <xdr:from>
      <xdr:col>3</xdr:col>
      <xdr:colOff>15552</xdr:colOff>
      <xdr:row>17</xdr:row>
      <xdr:rowOff>272141</xdr:rowOff>
    </xdr:from>
    <xdr:to>
      <xdr:col>5</xdr:col>
      <xdr:colOff>668694</xdr:colOff>
      <xdr:row>21</xdr:row>
      <xdr:rowOff>116631</xdr:rowOff>
    </xdr:to>
    <xdr:grpSp>
      <xdr:nvGrpSpPr>
        <xdr:cNvPr id="112" name="Group 111">
          <a:extLst>
            <a:ext uri="{FF2B5EF4-FFF2-40B4-BE49-F238E27FC236}">
              <a16:creationId xmlns:a16="http://schemas.microsoft.com/office/drawing/2014/main" id="{E8B5E3B0-3B51-5077-CB40-78F2828FA629}"/>
            </a:ext>
          </a:extLst>
        </xdr:cNvPr>
        <xdr:cNvGrpSpPr/>
      </xdr:nvGrpSpPr>
      <xdr:grpSpPr>
        <a:xfrm>
          <a:off x="3388180" y="4734118"/>
          <a:ext cx="2616458" cy="854528"/>
          <a:chOff x="3483430" y="5092957"/>
          <a:chExt cx="2674774" cy="917511"/>
        </a:xfrm>
      </xdr:grpSpPr>
      <xdr:grpSp>
        <xdr:nvGrpSpPr>
          <xdr:cNvPr id="99" name="Group 98">
            <a:extLst>
              <a:ext uri="{FF2B5EF4-FFF2-40B4-BE49-F238E27FC236}">
                <a16:creationId xmlns:a16="http://schemas.microsoft.com/office/drawing/2014/main" id="{F7BD970C-9182-BE60-8156-EE7F119752B2}"/>
              </a:ext>
            </a:extLst>
          </xdr:cNvPr>
          <xdr:cNvGrpSpPr/>
        </xdr:nvGrpSpPr>
        <xdr:grpSpPr>
          <a:xfrm>
            <a:off x="3483430" y="5092957"/>
            <a:ext cx="2674774" cy="917511"/>
            <a:chOff x="3483430" y="5092957"/>
            <a:chExt cx="2674774" cy="917511"/>
          </a:xfrm>
        </xdr:grpSpPr>
        <xdr:grpSp>
          <xdr:nvGrpSpPr>
            <xdr:cNvPr id="33" name="Group 32">
              <a:extLst>
                <a:ext uri="{FF2B5EF4-FFF2-40B4-BE49-F238E27FC236}">
                  <a16:creationId xmlns:a16="http://schemas.microsoft.com/office/drawing/2014/main" id="{BB543AC1-F235-FF1B-70E3-CCC435894985}"/>
                </a:ext>
              </a:extLst>
            </xdr:cNvPr>
            <xdr:cNvGrpSpPr/>
          </xdr:nvGrpSpPr>
          <xdr:grpSpPr>
            <a:xfrm>
              <a:off x="3483430" y="5092957"/>
              <a:ext cx="2674774" cy="917511"/>
              <a:chOff x="998375" y="1862541"/>
              <a:chExt cx="3326938" cy="1152484"/>
            </a:xfrm>
          </xdr:grpSpPr>
          <xdr:sp macro="" textlink="">
            <xdr:nvSpPr>
              <xdr:cNvPr id="35" name="Rectangle: Rounded Corners 34">
                <a:extLst>
                  <a:ext uri="{FF2B5EF4-FFF2-40B4-BE49-F238E27FC236}">
                    <a16:creationId xmlns:a16="http://schemas.microsoft.com/office/drawing/2014/main" id="{37A2F8A7-89C0-B5B5-5989-2318AA0E8C5C}"/>
                  </a:ext>
                </a:extLst>
              </xdr:cNvPr>
              <xdr:cNvSpPr/>
            </xdr:nvSpPr>
            <xdr:spPr>
              <a:xfrm>
                <a:off x="998375" y="1862541"/>
                <a:ext cx="3326938" cy="1152484"/>
              </a:xfrm>
              <a:prstGeom prst="roundRect">
                <a:avLst>
                  <a:gd name="adj" fmla="val 7521"/>
                </a:avLst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grpSp>
            <xdr:nvGrpSpPr>
              <xdr:cNvPr id="36" name="Group 35">
                <a:extLst>
                  <a:ext uri="{FF2B5EF4-FFF2-40B4-BE49-F238E27FC236}">
                    <a16:creationId xmlns:a16="http://schemas.microsoft.com/office/drawing/2014/main" id="{8C73BB7F-172B-B06A-3F12-5387218B8541}"/>
                  </a:ext>
                </a:extLst>
              </xdr:cNvPr>
              <xdr:cNvGrpSpPr/>
            </xdr:nvGrpSpPr>
            <xdr:grpSpPr>
              <a:xfrm>
                <a:off x="1115223" y="1970661"/>
                <a:ext cx="2739857" cy="614956"/>
                <a:chOff x="270587" y="1970661"/>
                <a:chExt cx="2739857" cy="614956"/>
              </a:xfrm>
            </xdr:grpSpPr>
            <xdr:pic>
              <xdr:nvPicPr>
                <xdr:cNvPr id="37" name="Picture 36">
                  <a:extLst>
                    <a:ext uri="{FF2B5EF4-FFF2-40B4-BE49-F238E27FC236}">
                      <a16:creationId xmlns:a16="http://schemas.microsoft.com/office/drawing/2014/main" id="{12421CFF-86F8-7B5F-4FAE-D1A65D59CACF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b="51368"/>
                <a:stretch/>
              </xdr:blipFill>
              <xdr:spPr>
                <a:xfrm>
                  <a:off x="270587" y="1970661"/>
                  <a:ext cx="2715209" cy="319107"/>
                </a:xfrm>
                <a:prstGeom prst="rect">
                  <a:avLst/>
                </a:prstGeom>
              </xdr:spPr>
            </xdr:pic>
            <xdr:pic>
              <xdr:nvPicPr>
                <xdr:cNvPr id="38" name="Picture 37">
                  <a:extLst>
                    <a:ext uri="{FF2B5EF4-FFF2-40B4-BE49-F238E27FC236}">
                      <a16:creationId xmlns:a16="http://schemas.microsoft.com/office/drawing/2014/main" id="{7B458534-42C9-C368-30B3-915BC20A1049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2"/>
                <a:srcRect l="-468" t="50000" r="468" b="4974"/>
                <a:stretch/>
              </xdr:blipFill>
              <xdr:spPr>
                <a:xfrm>
                  <a:off x="320351" y="2266510"/>
                  <a:ext cx="2690093" cy="319107"/>
                </a:xfrm>
                <a:prstGeom prst="rect">
                  <a:avLst/>
                </a:prstGeom>
              </xdr:spPr>
            </xdr:pic>
          </xdr:grpSp>
        </xdr:grpSp>
        <xdr:pic>
          <xdr:nvPicPr>
            <xdr:cNvPr id="98" name="Picture 97">
              <a:extLst>
                <a:ext uri="{FF2B5EF4-FFF2-40B4-BE49-F238E27FC236}">
                  <a16:creationId xmlns:a16="http://schemas.microsoft.com/office/drawing/2014/main" id="{F98AFDBB-DC18-A6CD-787E-C053C8172A9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758614" y="5201815"/>
              <a:ext cx="948610" cy="213771"/>
            </a:xfrm>
            <a:prstGeom prst="rect">
              <a:avLst/>
            </a:prstGeom>
          </xdr:spPr>
        </xdr:pic>
      </xdr:grpSp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106CA937-04E7-4EDB-B5C4-54C1A259DD34}"/>
              </a:ext>
            </a:extLst>
          </xdr:cNvPr>
          <xdr:cNvSpPr txBox="1"/>
        </xdr:nvSpPr>
        <xdr:spPr>
          <a:xfrm>
            <a:off x="4288971" y="5680684"/>
            <a:ext cx="678180" cy="2455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H Sarabun New" panose="020B0500040200020003" pitchFamily="34" charset="-34"/>
                <a:cs typeface="TH Sarabun New" panose="020B0500040200020003" pitchFamily="34" charset="-34"/>
              </a:rPr>
              <a:t>F</a:t>
            </a:r>
            <a:r>
              <a:rPr lang="en-US" sz="1200" b="1" baseline="0">
                <a:latin typeface="TH Sarabun New" panose="020B0500040200020003" pitchFamily="34" charset="-34"/>
                <a:cs typeface="TH Sarabun New" panose="020B0500040200020003" pitchFamily="34" charset="-34"/>
              </a:rPr>
              <a:t> Code</a:t>
            </a:r>
            <a:endParaRPr lang="en-US" sz="1200" b="1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  <xdr:pic>
        <xdr:nvPicPr>
          <xdr:cNvPr id="101" name="Picture 100">
            <a:extLst>
              <a:ext uri="{FF2B5EF4-FFF2-40B4-BE49-F238E27FC236}">
                <a16:creationId xmlns:a16="http://schemas.microsoft.com/office/drawing/2014/main" id="{CB883896-0684-4FDF-81DB-B4C89EAA83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756210" y="5703296"/>
            <a:ext cx="346524" cy="202560"/>
          </a:xfrm>
          <a:prstGeom prst="rect">
            <a:avLst/>
          </a:prstGeom>
        </xdr:spPr>
      </xdr:pic>
      <xdr:sp macro="" textlink="">
        <xdr:nvSpPr>
          <xdr:cNvPr id="102" name="Rectangle 101">
            <a:extLst>
              <a:ext uri="{FF2B5EF4-FFF2-40B4-BE49-F238E27FC236}">
                <a16:creationId xmlns:a16="http://schemas.microsoft.com/office/drawing/2014/main" id="{24D22AF9-DCAF-45EE-BA49-BF9BFDF6EFE9}"/>
              </a:ext>
            </a:extLst>
          </xdr:cNvPr>
          <xdr:cNvSpPr/>
        </xdr:nvSpPr>
        <xdr:spPr>
          <a:xfrm>
            <a:off x="4818639" y="5723658"/>
            <a:ext cx="899160" cy="176486"/>
          </a:xfrm>
          <a:prstGeom prst="rect">
            <a:avLst/>
          </a:prstGeom>
          <a:solidFill>
            <a:schemeClr val="bg1"/>
          </a:solidFill>
          <a:ln>
            <a:solidFill>
              <a:schemeClr val="accent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3" name="TextBox 133">
            <a:extLst>
              <a:ext uri="{FF2B5EF4-FFF2-40B4-BE49-F238E27FC236}">
                <a16:creationId xmlns:a16="http://schemas.microsoft.com/office/drawing/2014/main" id="{5691352B-BBCD-4037-A9FA-BFA6D85CA28C}"/>
              </a:ext>
            </a:extLst>
          </xdr:cNvPr>
          <xdr:cNvSpPr txBox="1"/>
        </xdr:nvSpPr>
        <xdr:spPr>
          <a:xfrm>
            <a:off x="4887219" y="5654598"/>
            <a:ext cx="739140" cy="333626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400">
                <a:latin typeface="TH Sarabun New" panose="020B0500040200020003" pitchFamily="34" charset="-34"/>
                <a:cs typeface="TH Sarabun New" panose="020B0500040200020003" pitchFamily="34" charset="-34"/>
              </a:rPr>
              <a:t>F000061</a:t>
            </a:r>
          </a:p>
        </xdr:txBody>
      </xdr:sp>
    </xdr:grpSp>
    <xdr:clientData/>
  </xdr:twoCellAnchor>
  <xdr:twoCellAnchor>
    <xdr:from>
      <xdr:col>3</xdr:col>
      <xdr:colOff>15552</xdr:colOff>
      <xdr:row>21</xdr:row>
      <xdr:rowOff>248816</xdr:rowOff>
    </xdr:from>
    <xdr:to>
      <xdr:col>5</xdr:col>
      <xdr:colOff>660919</xdr:colOff>
      <xdr:row>25</xdr:row>
      <xdr:rowOff>108857</xdr:rowOff>
    </xdr:to>
    <xdr:grpSp>
      <xdr:nvGrpSpPr>
        <xdr:cNvPr id="113" name="Group 112">
          <a:extLst>
            <a:ext uri="{FF2B5EF4-FFF2-40B4-BE49-F238E27FC236}">
              <a16:creationId xmlns:a16="http://schemas.microsoft.com/office/drawing/2014/main" id="{86FDDA8F-D1BB-4197-CFCB-C44B27EFEDA0}"/>
            </a:ext>
          </a:extLst>
        </xdr:cNvPr>
        <xdr:cNvGrpSpPr/>
      </xdr:nvGrpSpPr>
      <xdr:grpSpPr>
        <a:xfrm>
          <a:off x="3388180" y="5711306"/>
          <a:ext cx="2608683" cy="841505"/>
          <a:chOff x="3537859" y="6352591"/>
          <a:chExt cx="2744755" cy="917510"/>
        </a:xfrm>
      </xdr:grpSpPr>
      <xdr:grpSp>
        <xdr:nvGrpSpPr>
          <xdr:cNvPr id="63" name="Group 62">
            <a:extLst>
              <a:ext uri="{FF2B5EF4-FFF2-40B4-BE49-F238E27FC236}">
                <a16:creationId xmlns:a16="http://schemas.microsoft.com/office/drawing/2014/main" id="{6FEEC3E9-B9AD-5D97-4D66-E15C4F022EDD}"/>
              </a:ext>
            </a:extLst>
          </xdr:cNvPr>
          <xdr:cNvGrpSpPr/>
        </xdr:nvGrpSpPr>
        <xdr:grpSpPr>
          <a:xfrm>
            <a:off x="3537859" y="6352591"/>
            <a:ext cx="2744755" cy="917510"/>
            <a:chOff x="1018593" y="4844143"/>
            <a:chExt cx="2744755" cy="917510"/>
          </a:xfrm>
        </xdr:grpSpPr>
        <xdr:grpSp>
          <xdr:nvGrpSpPr>
            <xdr:cNvPr id="3" name="Group 2">
              <a:extLst>
                <a:ext uri="{FF2B5EF4-FFF2-40B4-BE49-F238E27FC236}">
                  <a16:creationId xmlns:a16="http://schemas.microsoft.com/office/drawing/2014/main" id="{728B3B75-9CAC-FA78-34C9-983318824287}"/>
                </a:ext>
              </a:extLst>
            </xdr:cNvPr>
            <xdr:cNvGrpSpPr/>
          </xdr:nvGrpSpPr>
          <xdr:grpSpPr>
            <a:xfrm>
              <a:off x="1018593" y="4844143"/>
              <a:ext cx="2744755" cy="917510"/>
              <a:chOff x="998375" y="1862541"/>
              <a:chExt cx="3442996" cy="1131735"/>
            </a:xfrm>
          </xdr:grpSpPr>
          <xdr:sp macro="" textlink="">
            <xdr:nvSpPr>
              <xdr:cNvPr id="6" name="Rectangle: Rounded Corners 5">
                <a:extLst>
                  <a:ext uri="{FF2B5EF4-FFF2-40B4-BE49-F238E27FC236}">
                    <a16:creationId xmlns:a16="http://schemas.microsoft.com/office/drawing/2014/main" id="{93B2BA98-0B2C-76E2-A83A-1A1F9FA4D64C}"/>
                  </a:ext>
                </a:extLst>
              </xdr:cNvPr>
              <xdr:cNvSpPr/>
            </xdr:nvSpPr>
            <xdr:spPr>
              <a:xfrm>
                <a:off x="998375" y="1862541"/>
                <a:ext cx="3442996" cy="1131735"/>
              </a:xfrm>
              <a:prstGeom prst="roundRect">
                <a:avLst>
                  <a:gd name="adj" fmla="val 7521"/>
                </a:avLst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US"/>
              </a:p>
            </xdr:txBody>
          </xdr:sp>
          <xdr:grpSp>
            <xdr:nvGrpSpPr>
              <xdr:cNvPr id="7" name="Group 6">
                <a:extLst>
                  <a:ext uri="{FF2B5EF4-FFF2-40B4-BE49-F238E27FC236}">
                    <a16:creationId xmlns:a16="http://schemas.microsoft.com/office/drawing/2014/main" id="{9564139B-2B00-51FA-BEBF-A5736C8E52F5}"/>
                  </a:ext>
                </a:extLst>
              </xdr:cNvPr>
              <xdr:cNvGrpSpPr/>
            </xdr:nvGrpSpPr>
            <xdr:grpSpPr>
              <a:xfrm>
                <a:off x="1115223" y="1970661"/>
                <a:ext cx="2715209" cy="627788"/>
                <a:chOff x="270587" y="1970661"/>
                <a:chExt cx="2715209" cy="627788"/>
              </a:xfrm>
            </xdr:grpSpPr>
            <xdr:pic>
              <xdr:nvPicPr>
                <xdr:cNvPr id="8" name="Picture 7">
                  <a:extLst>
                    <a:ext uri="{FF2B5EF4-FFF2-40B4-BE49-F238E27FC236}">
                      <a16:creationId xmlns:a16="http://schemas.microsoft.com/office/drawing/2014/main" id="{81ADE5DA-E7A0-3F7A-8D32-2A4B4A5D740A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"/>
                <a:srcRect b="51368"/>
                <a:stretch/>
              </xdr:blipFill>
              <xdr:spPr>
                <a:xfrm>
                  <a:off x="270587" y="1970661"/>
                  <a:ext cx="2715209" cy="319107"/>
                </a:xfrm>
                <a:prstGeom prst="rect">
                  <a:avLst/>
                </a:prstGeom>
              </xdr:spPr>
            </xdr:pic>
            <xdr:pic>
              <xdr:nvPicPr>
                <xdr:cNvPr id="10" name="Picture 9">
                  <a:extLst>
                    <a:ext uri="{FF2B5EF4-FFF2-40B4-BE49-F238E27FC236}">
                      <a16:creationId xmlns:a16="http://schemas.microsoft.com/office/drawing/2014/main" id="{493294D2-D917-7F7A-1E04-551939965C1C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2"/>
                <a:srcRect l="-468" t="50000" r="468" b="4974"/>
                <a:stretch/>
              </xdr:blipFill>
              <xdr:spPr>
                <a:xfrm>
                  <a:off x="279494" y="2279341"/>
                  <a:ext cx="2690094" cy="319108"/>
                </a:xfrm>
                <a:prstGeom prst="rect">
                  <a:avLst/>
                </a:prstGeom>
              </xdr:spPr>
            </xdr:pic>
          </xdr:grpSp>
        </xdr:grpSp>
        <xdr:pic>
          <xdr:nvPicPr>
            <xdr:cNvPr id="54" name="Picture 53">
              <a:extLst>
                <a:ext uri="{FF2B5EF4-FFF2-40B4-BE49-F238E27FC236}">
                  <a16:creationId xmlns:a16="http://schemas.microsoft.com/office/drawing/2014/main" id="{4E150F3A-A474-4D1F-9242-A9E89997A82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270449" y="4952999"/>
              <a:ext cx="992773" cy="215809"/>
            </a:xfrm>
            <a:prstGeom prst="rect">
              <a:avLst/>
            </a:prstGeom>
          </xdr:spPr>
        </xdr:pic>
      </xdr:grp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A31CBE6E-E3AD-482C-AB1E-B78B9E1A6DF4}"/>
              </a:ext>
            </a:extLst>
          </xdr:cNvPr>
          <xdr:cNvSpPr txBox="1"/>
        </xdr:nvSpPr>
        <xdr:spPr>
          <a:xfrm>
            <a:off x="4309187" y="6921655"/>
            <a:ext cx="678180" cy="2455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>
                <a:latin typeface="TH Sarabun New" panose="020B0500040200020003" pitchFamily="34" charset="-34"/>
                <a:cs typeface="TH Sarabun New" panose="020B0500040200020003" pitchFamily="34" charset="-34"/>
              </a:rPr>
              <a:t>F</a:t>
            </a:r>
            <a:r>
              <a:rPr lang="en-US" sz="1200" b="1" baseline="0">
                <a:latin typeface="TH Sarabun New" panose="020B0500040200020003" pitchFamily="34" charset="-34"/>
                <a:cs typeface="TH Sarabun New" panose="020B0500040200020003" pitchFamily="34" charset="-34"/>
              </a:rPr>
              <a:t> Code</a:t>
            </a:r>
            <a:endParaRPr lang="en-US" sz="1200" b="1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  <xdr:pic>
        <xdr:nvPicPr>
          <xdr:cNvPr id="105" name="Picture 104">
            <a:extLst>
              <a:ext uri="{FF2B5EF4-FFF2-40B4-BE49-F238E27FC236}">
                <a16:creationId xmlns:a16="http://schemas.microsoft.com/office/drawing/2014/main" id="{FF98AC0D-F63A-483A-A2A1-E7474E3492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776426" y="6944267"/>
            <a:ext cx="346524" cy="202560"/>
          </a:xfrm>
          <a:prstGeom prst="rect">
            <a:avLst/>
          </a:prstGeom>
        </xdr:spPr>
      </xdr:pic>
      <xdr:sp macro="" textlink="">
        <xdr:nvSpPr>
          <xdr:cNvPr id="106" name="Rectangle 105">
            <a:extLst>
              <a:ext uri="{FF2B5EF4-FFF2-40B4-BE49-F238E27FC236}">
                <a16:creationId xmlns:a16="http://schemas.microsoft.com/office/drawing/2014/main" id="{0242CBAA-5927-46E5-8E2B-4A37D12556AE}"/>
              </a:ext>
            </a:extLst>
          </xdr:cNvPr>
          <xdr:cNvSpPr/>
        </xdr:nvSpPr>
        <xdr:spPr>
          <a:xfrm>
            <a:off x="4838855" y="6964629"/>
            <a:ext cx="899160" cy="176486"/>
          </a:xfrm>
          <a:prstGeom prst="rect">
            <a:avLst/>
          </a:prstGeom>
          <a:solidFill>
            <a:schemeClr val="bg1"/>
          </a:solidFill>
          <a:ln>
            <a:solidFill>
              <a:schemeClr val="accent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7" name="TextBox 133">
            <a:extLst>
              <a:ext uri="{FF2B5EF4-FFF2-40B4-BE49-F238E27FC236}">
                <a16:creationId xmlns:a16="http://schemas.microsoft.com/office/drawing/2014/main" id="{764CC6D5-15FC-4718-8A37-4154D972D544}"/>
              </a:ext>
            </a:extLst>
          </xdr:cNvPr>
          <xdr:cNvSpPr txBox="1"/>
        </xdr:nvSpPr>
        <xdr:spPr>
          <a:xfrm>
            <a:off x="4907435" y="6895569"/>
            <a:ext cx="739140" cy="333626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400">
                <a:latin typeface="TH Sarabun New" panose="020B0500040200020003" pitchFamily="34" charset="-34"/>
                <a:cs typeface="TH Sarabun New" panose="020B0500040200020003" pitchFamily="34" charset="-34"/>
              </a:rPr>
              <a:t>F000061</a:t>
            </a:r>
          </a:p>
        </xdr:txBody>
      </xdr:sp>
    </xdr:grpSp>
    <xdr:clientData/>
  </xdr:twoCellAnchor>
  <xdr:twoCellAnchor>
    <xdr:from>
      <xdr:col>7</xdr:col>
      <xdr:colOff>264367</xdr:colOff>
      <xdr:row>3</xdr:row>
      <xdr:rowOff>194388</xdr:rowOff>
    </xdr:from>
    <xdr:to>
      <xdr:col>10</xdr:col>
      <xdr:colOff>178837</xdr:colOff>
      <xdr:row>10</xdr:row>
      <xdr:rowOff>114309</xdr:rowOff>
    </xdr:to>
    <xdr:grpSp>
      <xdr:nvGrpSpPr>
        <xdr:cNvPr id="134" name="Group 133">
          <a:extLst>
            <a:ext uri="{FF2B5EF4-FFF2-40B4-BE49-F238E27FC236}">
              <a16:creationId xmlns:a16="http://schemas.microsoft.com/office/drawing/2014/main" id="{4CC61E04-CC83-97FB-8652-8B0A8F7BC68E}"/>
            </a:ext>
          </a:extLst>
        </xdr:cNvPr>
        <xdr:cNvGrpSpPr/>
      </xdr:nvGrpSpPr>
      <xdr:grpSpPr>
        <a:xfrm>
          <a:off x="7563627" y="913623"/>
          <a:ext cx="2859445" cy="2009589"/>
          <a:chOff x="7775510" y="1010817"/>
          <a:chExt cx="2946919" cy="1778268"/>
        </a:xfrm>
      </xdr:grpSpPr>
      <xdr:sp macro="" textlink="">
        <xdr:nvSpPr>
          <xdr:cNvPr id="117" name="Rectangle: Rounded Corners 116">
            <a:extLst>
              <a:ext uri="{FF2B5EF4-FFF2-40B4-BE49-F238E27FC236}">
                <a16:creationId xmlns:a16="http://schemas.microsoft.com/office/drawing/2014/main" id="{20B52D93-DFC6-4165-92A9-19D63665EA72}"/>
              </a:ext>
            </a:extLst>
          </xdr:cNvPr>
          <xdr:cNvSpPr/>
        </xdr:nvSpPr>
        <xdr:spPr>
          <a:xfrm>
            <a:off x="7775510" y="1010817"/>
            <a:ext cx="2946919" cy="1329612"/>
          </a:xfrm>
          <a:prstGeom prst="roundRect">
            <a:avLst>
              <a:gd name="adj" fmla="val 7521"/>
            </a:avLst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pic>
        <xdr:nvPicPr>
          <xdr:cNvPr id="115" name="Picture 114">
            <a:extLst>
              <a:ext uri="{FF2B5EF4-FFF2-40B4-BE49-F238E27FC236}">
                <a16:creationId xmlns:a16="http://schemas.microsoft.com/office/drawing/2014/main" id="{B4B1FB4E-0961-0699-1ED2-D03312492F7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2"/>
          <a:srcRect l="2580" t="5516" r="1980" b="8999"/>
          <a:stretch/>
        </xdr:blipFill>
        <xdr:spPr>
          <a:xfrm>
            <a:off x="7829939" y="1041918"/>
            <a:ext cx="2589245" cy="723123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0E784264-D8FA-49C6-8A14-D883B98C3D91}"/>
              </a:ext>
            </a:extLst>
          </xdr:cNvPr>
          <xdr:cNvSpPr txBox="1"/>
        </xdr:nvSpPr>
        <xdr:spPr>
          <a:xfrm>
            <a:off x="8623040" y="1632858"/>
            <a:ext cx="678180" cy="2455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>
                <a:latin typeface="TH Sarabun New" panose="020B0500040200020003" pitchFamily="34" charset="-34"/>
                <a:cs typeface="TH Sarabun New" panose="020B0500040200020003" pitchFamily="34" charset="-34"/>
              </a:rPr>
              <a:t>F</a:t>
            </a:r>
            <a:r>
              <a:rPr lang="en-US" sz="1600" b="1" baseline="0">
                <a:latin typeface="TH Sarabun New" panose="020B0500040200020003" pitchFamily="34" charset="-34"/>
                <a:cs typeface="TH Sarabun New" panose="020B0500040200020003" pitchFamily="34" charset="-34"/>
              </a:rPr>
              <a:t> Code</a:t>
            </a:r>
            <a:endParaRPr lang="en-US" sz="1600" b="1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  <xdr:pic>
        <xdr:nvPicPr>
          <xdr:cNvPr id="122" name="Picture 121">
            <a:extLst>
              <a:ext uri="{FF2B5EF4-FFF2-40B4-BE49-F238E27FC236}">
                <a16:creationId xmlns:a16="http://schemas.microsoft.com/office/drawing/2014/main" id="{6C193E9D-866B-4155-B48E-11E6B9CF7D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0191360" y="1694347"/>
            <a:ext cx="413577" cy="241756"/>
          </a:xfrm>
          <a:prstGeom prst="rect">
            <a:avLst/>
          </a:prstGeom>
        </xdr:spPr>
      </xdr:pic>
      <xdr:pic>
        <xdr:nvPicPr>
          <xdr:cNvPr id="123" name="Picture 122">
            <a:extLst>
              <a:ext uri="{FF2B5EF4-FFF2-40B4-BE49-F238E27FC236}">
                <a16:creationId xmlns:a16="http://schemas.microsoft.com/office/drawing/2014/main" id="{75359AC4-2BB5-4F8B-8487-93C731D28D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0206911" y="1947975"/>
            <a:ext cx="406659" cy="217608"/>
          </a:xfrm>
          <a:prstGeom prst="rect">
            <a:avLst/>
          </a:prstGeom>
        </xdr:spPr>
      </xdr:pic>
      <xdr:pic>
        <xdr:nvPicPr>
          <xdr:cNvPr id="124" name="Picture 123">
            <a:extLst>
              <a:ext uri="{FF2B5EF4-FFF2-40B4-BE49-F238E27FC236}">
                <a16:creationId xmlns:a16="http://schemas.microsoft.com/office/drawing/2014/main" id="{4DE867A0-9C97-FE98-CABB-8DACF29AF5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9221755" y="1702838"/>
            <a:ext cx="967824" cy="228620"/>
          </a:xfrm>
          <a:prstGeom prst="rect">
            <a:avLst/>
          </a:prstGeom>
        </xdr:spPr>
      </xdr:pic>
      <xdr:pic>
        <xdr:nvPicPr>
          <xdr:cNvPr id="125" name="Picture 124">
            <a:extLst>
              <a:ext uri="{FF2B5EF4-FFF2-40B4-BE49-F238E27FC236}">
                <a16:creationId xmlns:a16="http://schemas.microsoft.com/office/drawing/2014/main" id="{D3CF5B33-C8EA-4972-8AAB-FCD1CB1EBE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9226421" y="1948544"/>
            <a:ext cx="967824" cy="228620"/>
          </a:xfrm>
          <a:prstGeom prst="rect">
            <a:avLst/>
          </a:prstGeom>
        </xdr:spPr>
      </xdr:pic>
      <xdr:sp macro="" textlink="">
        <xdr:nvSpPr>
          <xdr:cNvPr id="126" name="TextBox 45">
            <a:extLst>
              <a:ext uri="{FF2B5EF4-FFF2-40B4-BE49-F238E27FC236}">
                <a16:creationId xmlns:a16="http://schemas.microsoft.com/office/drawing/2014/main" id="{1236556E-A23A-4DF6-B1E9-6AC630F2F933}"/>
              </a:ext>
            </a:extLst>
          </xdr:cNvPr>
          <xdr:cNvSpPr txBox="1"/>
        </xdr:nvSpPr>
        <xdr:spPr>
          <a:xfrm>
            <a:off x="8693020" y="2462817"/>
            <a:ext cx="2019777" cy="326268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TH Sarabun New" panose="020B0500040200020003" pitchFamily="34" charset="-34"/>
                <a:cs typeface="TH Sarabun New" panose="020B0500040200020003" pitchFamily="34" charset="-34"/>
              </a:rPr>
              <a:t>Drop down </a:t>
            </a:r>
            <a:r>
              <a:rPr lang="th-TH" sz="1600">
                <a:latin typeface="TH Sarabun New" panose="020B0500040200020003" pitchFamily="34" charset="-34"/>
                <a:cs typeface="TH Sarabun New" panose="020B0500040200020003" pitchFamily="34" charset="-34"/>
              </a:rPr>
              <a:t>จากการกรอกยอด</a:t>
            </a:r>
          </a:p>
        </xdr:txBody>
      </xdr:sp>
      <xdr:sp macro="" textlink="">
        <xdr:nvSpPr>
          <xdr:cNvPr id="127" name="Rectangle 126">
            <a:extLst>
              <a:ext uri="{FF2B5EF4-FFF2-40B4-BE49-F238E27FC236}">
                <a16:creationId xmlns:a16="http://schemas.microsoft.com/office/drawing/2014/main" id="{5D456F4A-6946-45B3-8D98-B1CF537E2B9F}"/>
              </a:ext>
            </a:extLst>
          </xdr:cNvPr>
          <xdr:cNvSpPr/>
        </xdr:nvSpPr>
        <xdr:spPr>
          <a:xfrm>
            <a:off x="9188225" y="1687286"/>
            <a:ext cx="1013244" cy="544285"/>
          </a:xfrm>
          <a:prstGeom prst="rect">
            <a:avLst/>
          </a:prstGeom>
          <a:noFill/>
          <a:ln w="19050">
            <a:solidFill>
              <a:schemeClr val="accent2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8" name="Straight Arrow Connector 127">
            <a:extLst>
              <a:ext uri="{FF2B5EF4-FFF2-40B4-BE49-F238E27FC236}">
                <a16:creationId xmlns:a16="http://schemas.microsoft.com/office/drawing/2014/main" id="{90BD32FD-B2B1-4EE0-8CD5-694EBBDA6CF7}"/>
              </a:ext>
            </a:extLst>
          </xdr:cNvPr>
          <xdr:cNvCxnSpPr>
            <a:stCxn id="126" idx="0"/>
            <a:endCxn id="127" idx="2"/>
          </xdr:cNvCxnSpPr>
        </xdr:nvCxnSpPr>
        <xdr:spPr>
          <a:xfrm flipH="1" flipV="1">
            <a:off x="9694847" y="2231571"/>
            <a:ext cx="8062" cy="231246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272143</xdr:colOff>
      <xdr:row>10</xdr:row>
      <xdr:rowOff>241040</xdr:rowOff>
    </xdr:from>
    <xdr:to>
      <xdr:col>10</xdr:col>
      <xdr:colOff>241041</xdr:colOff>
      <xdr:row>17</xdr:row>
      <xdr:rowOff>168738</xdr:rowOff>
    </xdr:to>
    <xdr:grpSp>
      <xdr:nvGrpSpPr>
        <xdr:cNvPr id="146" name="Group 145">
          <a:extLst>
            <a:ext uri="{FF2B5EF4-FFF2-40B4-BE49-F238E27FC236}">
              <a16:creationId xmlns:a16="http://schemas.microsoft.com/office/drawing/2014/main" id="{1DE12331-A965-5F5A-D492-C338B899506F}"/>
            </a:ext>
          </a:extLst>
        </xdr:cNvPr>
        <xdr:cNvGrpSpPr/>
      </xdr:nvGrpSpPr>
      <xdr:grpSpPr>
        <a:xfrm>
          <a:off x="7571403" y="3040418"/>
          <a:ext cx="2913873" cy="1628397"/>
          <a:chOff x="7783286" y="2915816"/>
          <a:chExt cx="3001347" cy="1809371"/>
        </a:xfrm>
      </xdr:grpSpPr>
      <xdr:grpSp>
        <xdr:nvGrpSpPr>
          <xdr:cNvPr id="135" name="Group 134">
            <a:extLst>
              <a:ext uri="{FF2B5EF4-FFF2-40B4-BE49-F238E27FC236}">
                <a16:creationId xmlns:a16="http://schemas.microsoft.com/office/drawing/2014/main" id="{56A7B9A8-F94C-4258-B5D3-9299EC14B0B5}"/>
              </a:ext>
            </a:extLst>
          </xdr:cNvPr>
          <xdr:cNvGrpSpPr/>
        </xdr:nvGrpSpPr>
        <xdr:grpSpPr>
          <a:xfrm>
            <a:off x="7783286" y="2915816"/>
            <a:ext cx="3001347" cy="1809371"/>
            <a:chOff x="7721082" y="979714"/>
            <a:chExt cx="3001347" cy="1809371"/>
          </a:xfrm>
        </xdr:grpSpPr>
        <xdr:sp macro="" textlink="">
          <xdr:nvSpPr>
            <xdr:cNvPr id="136" name="Rectangle: Rounded Corners 135">
              <a:extLst>
                <a:ext uri="{FF2B5EF4-FFF2-40B4-BE49-F238E27FC236}">
                  <a16:creationId xmlns:a16="http://schemas.microsoft.com/office/drawing/2014/main" id="{F7206AC7-1AFB-F0DF-5D86-2EDAFBF44462}"/>
                </a:ext>
              </a:extLst>
            </xdr:cNvPr>
            <xdr:cNvSpPr/>
          </xdr:nvSpPr>
          <xdr:spPr>
            <a:xfrm>
              <a:off x="7721082" y="979714"/>
              <a:ext cx="3001347" cy="1360715"/>
            </a:xfrm>
            <a:prstGeom prst="roundRect">
              <a:avLst>
                <a:gd name="adj" fmla="val 7521"/>
              </a:avLst>
            </a:prstGeom>
            <a:solidFill>
              <a:schemeClr val="bg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pic>
          <xdr:nvPicPr>
            <xdr:cNvPr id="137" name="Picture 136">
              <a:extLst>
                <a:ext uri="{FF2B5EF4-FFF2-40B4-BE49-F238E27FC236}">
                  <a16:creationId xmlns:a16="http://schemas.microsoft.com/office/drawing/2014/main" id="{16F370A6-841E-483C-FFF4-2B9523B9EC88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2"/>
            <a:srcRect l="2580" t="5516" r="1980" b="8999"/>
            <a:stretch/>
          </xdr:blipFill>
          <xdr:spPr>
            <a:xfrm>
              <a:off x="7829939" y="1041918"/>
              <a:ext cx="2589245" cy="723123"/>
            </a:xfrm>
            <a:prstGeom prst="rect">
              <a:avLst/>
            </a:prstGeom>
            <a:ln>
              <a:noFill/>
            </a:ln>
          </xdr:spPr>
        </xdr:pic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B63953C4-DF93-D735-D526-F91DFFF4D36C}"/>
                </a:ext>
              </a:extLst>
            </xdr:cNvPr>
            <xdr:cNvSpPr txBox="1"/>
          </xdr:nvSpPr>
          <xdr:spPr>
            <a:xfrm>
              <a:off x="8623040" y="1632858"/>
              <a:ext cx="678180" cy="24554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600" b="1">
                  <a:latin typeface="TH Sarabun New" panose="020B0500040200020003" pitchFamily="34" charset="-34"/>
                  <a:cs typeface="TH Sarabun New" panose="020B0500040200020003" pitchFamily="34" charset="-34"/>
                </a:rPr>
                <a:t>F</a:t>
              </a:r>
              <a:r>
                <a:rPr lang="en-US" sz="1600" b="1" baseline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Code</a:t>
              </a:r>
              <a:endParaRPr lang="en-US" sz="16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  <xdr:pic>
          <xdr:nvPicPr>
            <xdr:cNvPr id="139" name="Picture 138">
              <a:extLst>
                <a:ext uri="{FF2B5EF4-FFF2-40B4-BE49-F238E27FC236}">
                  <a16:creationId xmlns:a16="http://schemas.microsoft.com/office/drawing/2014/main" id="{BD195C8A-A3D6-A36D-BED1-75FDF8ED183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191360" y="1694347"/>
              <a:ext cx="413577" cy="241756"/>
            </a:xfrm>
            <a:prstGeom prst="rect">
              <a:avLst/>
            </a:prstGeom>
          </xdr:spPr>
        </xdr:pic>
        <xdr:pic>
          <xdr:nvPicPr>
            <xdr:cNvPr id="140" name="Picture 139">
              <a:extLst>
                <a:ext uri="{FF2B5EF4-FFF2-40B4-BE49-F238E27FC236}">
                  <a16:creationId xmlns:a16="http://schemas.microsoft.com/office/drawing/2014/main" id="{86D35F27-F5A5-8075-11AC-289F8E908BF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0206911" y="1947975"/>
              <a:ext cx="406659" cy="217608"/>
            </a:xfrm>
            <a:prstGeom prst="rect">
              <a:avLst/>
            </a:prstGeom>
          </xdr:spPr>
        </xdr:pic>
        <xdr:pic>
          <xdr:nvPicPr>
            <xdr:cNvPr id="141" name="Picture 140">
              <a:extLst>
                <a:ext uri="{FF2B5EF4-FFF2-40B4-BE49-F238E27FC236}">
                  <a16:creationId xmlns:a16="http://schemas.microsoft.com/office/drawing/2014/main" id="{422CB98E-3B08-B895-7B25-41BE039C20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9221755" y="1702838"/>
              <a:ext cx="967824" cy="228620"/>
            </a:xfrm>
            <a:prstGeom prst="rect">
              <a:avLst/>
            </a:prstGeom>
          </xdr:spPr>
        </xdr:pic>
        <xdr:pic>
          <xdr:nvPicPr>
            <xdr:cNvPr id="142" name="Picture 141">
              <a:extLst>
                <a:ext uri="{FF2B5EF4-FFF2-40B4-BE49-F238E27FC236}">
                  <a16:creationId xmlns:a16="http://schemas.microsoft.com/office/drawing/2014/main" id="{D4A46538-13A0-743A-FAB7-F493D6F5E80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9226421" y="1948544"/>
              <a:ext cx="967824" cy="228620"/>
            </a:xfrm>
            <a:prstGeom prst="rect">
              <a:avLst/>
            </a:prstGeom>
          </xdr:spPr>
        </xdr:pic>
        <xdr:sp macro="" textlink="">
          <xdr:nvSpPr>
            <xdr:cNvPr id="143" name="TextBox 45">
              <a:extLst>
                <a:ext uri="{FF2B5EF4-FFF2-40B4-BE49-F238E27FC236}">
                  <a16:creationId xmlns:a16="http://schemas.microsoft.com/office/drawing/2014/main" id="{458E7DFE-2F56-39C1-427E-93E54D7DDC5C}"/>
                </a:ext>
              </a:extLst>
            </xdr:cNvPr>
            <xdr:cNvSpPr txBox="1"/>
          </xdr:nvSpPr>
          <xdr:spPr>
            <a:xfrm>
              <a:off x="8693020" y="2462817"/>
              <a:ext cx="2019777" cy="326268"/>
            </a:xfrm>
            <a:prstGeom prst="rect">
              <a:avLst/>
            </a:prstGeom>
            <a:solidFill>
              <a:schemeClr val="accent2">
                <a:lumMod val="60000"/>
                <a:lumOff val="40000"/>
              </a:schemeClr>
            </a:solidFill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600">
                  <a:latin typeface="TH Sarabun New" panose="020B0500040200020003" pitchFamily="34" charset="-34"/>
                  <a:cs typeface="TH Sarabun New" panose="020B0500040200020003" pitchFamily="34" charset="-34"/>
                </a:rPr>
                <a:t>Drop down </a:t>
              </a:r>
              <a:r>
                <a:rPr lang="th-TH" sz="1600">
                  <a:latin typeface="TH Sarabun New" panose="020B0500040200020003" pitchFamily="34" charset="-34"/>
                  <a:cs typeface="TH Sarabun New" panose="020B0500040200020003" pitchFamily="34" charset="-34"/>
                </a:rPr>
                <a:t>จากการกรอกยอด</a:t>
              </a:r>
            </a:p>
          </xdr:txBody>
        </xdr:sp>
        <xdr:sp macro="" textlink="">
          <xdr:nvSpPr>
            <xdr:cNvPr id="144" name="Rectangle 143">
              <a:extLst>
                <a:ext uri="{FF2B5EF4-FFF2-40B4-BE49-F238E27FC236}">
                  <a16:creationId xmlns:a16="http://schemas.microsoft.com/office/drawing/2014/main" id="{4FCC127A-8351-831D-15E7-C7E1CD7EBBD8}"/>
                </a:ext>
              </a:extLst>
            </xdr:cNvPr>
            <xdr:cNvSpPr/>
          </xdr:nvSpPr>
          <xdr:spPr>
            <a:xfrm>
              <a:off x="9188225" y="1687286"/>
              <a:ext cx="1013244" cy="544285"/>
            </a:xfrm>
            <a:prstGeom prst="rect">
              <a:avLst/>
            </a:prstGeom>
            <a:noFill/>
            <a:ln w="19050">
              <a:solidFill>
                <a:schemeClr val="accent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cxnSp macro="">
          <xdr:nvCxnSpPr>
            <xdr:cNvPr id="145" name="Straight Arrow Connector 144">
              <a:extLst>
                <a:ext uri="{FF2B5EF4-FFF2-40B4-BE49-F238E27FC236}">
                  <a16:creationId xmlns:a16="http://schemas.microsoft.com/office/drawing/2014/main" id="{1DA49AFB-9743-EC56-1C35-2A3E5CB8C732}"/>
                </a:ext>
              </a:extLst>
            </xdr:cNvPr>
            <xdr:cNvCxnSpPr>
              <a:stCxn id="143" idx="0"/>
              <a:endCxn id="144" idx="2"/>
            </xdr:cNvCxnSpPr>
          </xdr:nvCxnSpPr>
          <xdr:spPr>
            <a:xfrm flipH="1" flipV="1">
              <a:off x="9694847" y="2231571"/>
              <a:ext cx="8062" cy="231246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</xdr:grpSp>
      <xdr:pic>
        <xdr:nvPicPr>
          <xdr:cNvPr id="116" name="Picture 115">
            <a:extLst>
              <a:ext uri="{FF2B5EF4-FFF2-40B4-BE49-F238E27FC236}">
                <a16:creationId xmlns:a16="http://schemas.microsoft.com/office/drawing/2014/main" id="{747B56FB-C2B8-CBF5-96F5-0E5F4A93EB7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4"/>
          <a:srcRect b="20766"/>
          <a:stretch/>
        </xdr:blipFill>
        <xdr:spPr>
          <a:xfrm>
            <a:off x="7931021" y="2985795"/>
            <a:ext cx="2511489" cy="583162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202163</xdr:colOff>
      <xdr:row>15</xdr:row>
      <xdr:rowOff>209938</xdr:rowOff>
    </xdr:from>
    <xdr:to>
      <xdr:col>14</xdr:col>
      <xdr:colOff>1516224</xdr:colOff>
      <xdr:row>17</xdr:row>
      <xdr:rowOff>116633</xdr:rowOff>
    </xdr:to>
    <xdr:sp macro="" textlink="">
      <xdr:nvSpPr>
        <xdr:cNvPr id="148" name="Arrow: Right 147">
          <a:extLst>
            <a:ext uri="{FF2B5EF4-FFF2-40B4-BE49-F238E27FC236}">
              <a16:creationId xmlns:a16="http://schemas.microsoft.com/office/drawing/2014/main" id="{80E9FC18-E0DD-4883-9C61-F36814BDEA7D}"/>
            </a:ext>
          </a:extLst>
        </xdr:cNvPr>
        <xdr:cNvSpPr/>
      </xdr:nvSpPr>
      <xdr:spPr>
        <a:xfrm>
          <a:off x="15488816" y="4229877"/>
          <a:ext cx="1314061" cy="443205"/>
        </a:xfrm>
        <a:prstGeom prst="rightArrow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21</xdr:col>
      <xdr:colOff>349899</xdr:colOff>
      <xdr:row>11</xdr:row>
      <xdr:rowOff>225491</xdr:rowOff>
    </xdr:from>
    <xdr:to>
      <xdr:col>30</xdr:col>
      <xdr:colOff>101082</xdr:colOff>
      <xdr:row>13</xdr:row>
      <xdr:rowOff>195443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74232019-FD0A-A6FF-0F35-69CA887E86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t="2857" b="1"/>
        <a:stretch/>
      </xdr:blipFill>
      <xdr:spPr>
        <a:xfrm>
          <a:off x="23139919" y="3164634"/>
          <a:ext cx="5209591" cy="514238"/>
        </a:xfrm>
        <a:prstGeom prst="rect">
          <a:avLst/>
        </a:prstGeom>
        <a:ln w="28575">
          <a:solidFill>
            <a:schemeClr val="bg2">
              <a:lumMod val="75000"/>
            </a:schemeClr>
          </a:solidFill>
        </a:ln>
      </xdr:spPr>
    </xdr:pic>
    <xdr:clientData/>
  </xdr:twoCellAnchor>
  <xdr:twoCellAnchor editAs="oneCell">
    <xdr:from>
      <xdr:col>16</xdr:col>
      <xdr:colOff>85530</xdr:colOff>
      <xdr:row>5</xdr:row>
      <xdr:rowOff>147735</xdr:rowOff>
    </xdr:from>
    <xdr:to>
      <xdr:col>22</xdr:col>
      <xdr:colOff>112138</xdr:colOff>
      <xdr:row>9</xdr:row>
      <xdr:rowOff>217968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22AA6BD3-007B-4AF4-A634-FEE0445E9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163591" y="1492898"/>
          <a:ext cx="5578323" cy="1135478"/>
        </a:xfrm>
        <a:prstGeom prst="rect">
          <a:avLst/>
        </a:prstGeom>
      </xdr:spPr>
    </xdr:pic>
    <xdr:clientData/>
  </xdr:twoCellAnchor>
  <xdr:twoCellAnchor editAs="oneCell">
    <xdr:from>
      <xdr:col>21</xdr:col>
      <xdr:colOff>365449</xdr:colOff>
      <xdr:row>14</xdr:row>
      <xdr:rowOff>23326</xdr:rowOff>
    </xdr:from>
    <xdr:to>
      <xdr:col>30</xdr:col>
      <xdr:colOff>101083</xdr:colOff>
      <xdr:row>15</xdr:row>
      <xdr:rowOff>256242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AE62351B-7BA7-C573-BB23-5F3421C151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595" t="4415"/>
        <a:stretch/>
      </xdr:blipFill>
      <xdr:spPr>
        <a:xfrm>
          <a:off x="23155469" y="3778897"/>
          <a:ext cx="5194042" cy="505059"/>
        </a:xfrm>
        <a:prstGeom prst="rect">
          <a:avLst/>
        </a:prstGeom>
        <a:ln w="28575">
          <a:solidFill>
            <a:schemeClr val="accent6">
              <a:lumMod val="75000"/>
            </a:schemeClr>
          </a:solidFill>
        </a:ln>
      </xdr:spPr>
    </xdr:pic>
    <xdr:clientData/>
  </xdr:twoCellAnchor>
  <xdr:twoCellAnchor editAs="oneCell">
    <xdr:from>
      <xdr:col>21</xdr:col>
      <xdr:colOff>365450</xdr:colOff>
      <xdr:row>16</xdr:row>
      <xdr:rowOff>85531</xdr:rowOff>
    </xdr:from>
    <xdr:to>
      <xdr:col>30</xdr:col>
      <xdr:colOff>101082</xdr:colOff>
      <xdr:row>18</xdr:row>
      <xdr:rowOff>49651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8CF5365C-1618-4241-BA02-8792FC4C54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t="4387"/>
        <a:stretch/>
      </xdr:blipFill>
      <xdr:spPr>
        <a:xfrm>
          <a:off x="23155470" y="4385388"/>
          <a:ext cx="5194040" cy="508406"/>
        </a:xfrm>
        <a:prstGeom prst="rect">
          <a:avLst/>
        </a:prstGeom>
        <a:ln w="28575">
          <a:solidFill>
            <a:schemeClr val="accent4">
              <a:lumMod val="60000"/>
              <a:lumOff val="40000"/>
            </a:schemeClr>
          </a:solidFill>
        </a:ln>
      </xdr:spPr>
    </xdr:pic>
    <xdr:clientData/>
  </xdr:twoCellAnchor>
  <xdr:twoCellAnchor editAs="oneCell">
    <xdr:from>
      <xdr:col>21</xdr:col>
      <xdr:colOff>349897</xdr:colOff>
      <xdr:row>18</xdr:row>
      <xdr:rowOff>155510</xdr:rowOff>
    </xdr:from>
    <xdr:to>
      <xdr:col>30</xdr:col>
      <xdr:colOff>85530</xdr:colOff>
      <xdr:row>20</xdr:row>
      <xdr:rowOff>125942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3E64769B-04AB-CDA2-A69A-547C65CE91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rcRect l="496" t="4783" b="-1"/>
        <a:stretch/>
      </xdr:blipFill>
      <xdr:spPr>
        <a:xfrm>
          <a:off x="23139917" y="4999653"/>
          <a:ext cx="5194041" cy="514718"/>
        </a:xfrm>
        <a:prstGeom prst="rect">
          <a:avLst/>
        </a:prstGeom>
        <a:ln w="28575">
          <a:solidFill>
            <a:schemeClr val="accent5">
              <a:lumMod val="60000"/>
              <a:lumOff val="40000"/>
            </a:schemeClr>
          </a:solidFill>
        </a:ln>
      </xdr:spPr>
    </xdr:pic>
    <xdr:clientData/>
  </xdr:twoCellAnchor>
  <xdr:twoCellAnchor editAs="oneCell">
    <xdr:from>
      <xdr:col>21</xdr:col>
      <xdr:colOff>373224</xdr:colOff>
      <xdr:row>20</xdr:row>
      <xdr:rowOff>225488</xdr:rowOff>
    </xdr:from>
    <xdr:to>
      <xdr:col>30</xdr:col>
      <xdr:colOff>101081</xdr:colOff>
      <xdr:row>22</xdr:row>
      <xdr:rowOff>155510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40AAC73D-2FF4-7035-2BB8-F9F1CC0EBC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l="744" t="7162" b="5468"/>
        <a:stretch/>
      </xdr:blipFill>
      <xdr:spPr>
        <a:xfrm>
          <a:off x="23163244" y="5613917"/>
          <a:ext cx="5186265" cy="474307"/>
        </a:xfrm>
        <a:prstGeom prst="rect">
          <a:avLst/>
        </a:prstGeom>
        <a:ln w="38100">
          <a:solidFill>
            <a:schemeClr val="accent2">
              <a:lumMod val="60000"/>
              <a:lumOff val="40000"/>
            </a:schemeClr>
          </a:solidFill>
        </a:ln>
      </xdr:spPr>
    </xdr:pic>
    <xdr:clientData/>
  </xdr:twoCellAnchor>
  <xdr:twoCellAnchor editAs="oneCell">
    <xdr:from>
      <xdr:col>21</xdr:col>
      <xdr:colOff>373225</xdr:colOff>
      <xdr:row>23</xdr:row>
      <xdr:rowOff>7776</xdr:rowOff>
    </xdr:from>
    <xdr:to>
      <xdr:col>30</xdr:col>
      <xdr:colOff>123919</xdr:colOff>
      <xdr:row>24</xdr:row>
      <xdr:rowOff>248815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264A869D-002F-6059-C588-C2C85E7E46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/>
        <a:srcRect l="888" t="5715" b="-1"/>
        <a:stretch/>
      </xdr:blipFill>
      <xdr:spPr>
        <a:xfrm>
          <a:off x="23163245" y="6212633"/>
          <a:ext cx="5209102" cy="513182"/>
        </a:xfrm>
        <a:prstGeom prst="rect">
          <a:avLst/>
        </a:prstGeom>
        <a:ln w="28575">
          <a:solidFill>
            <a:schemeClr val="tx2">
              <a:lumMod val="60000"/>
              <a:lumOff val="40000"/>
            </a:schemeClr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161975</xdr:colOff>
      <xdr:row>3</xdr:row>
      <xdr:rowOff>13481</xdr:rowOff>
    </xdr:from>
    <xdr:to>
      <xdr:col>13</xdr:col>
      <xdr:colOff>459154</xdr:colOff>
      <xdr:row>20</xdr:row>
      <xdr:rowOff>138137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4AE9223-066F-0FE7-ED37-DBB252287B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68" t="1587" r="889" b="2268"/>
        <a:stretch/>
      </xdr:blipFill>
      <xdr:spPr>
        <a:xfrm>
          <a:off x="161975" y="570327"/>
          <a:ext cx="8171179" cy="3280118"/>
        </a:xfrm>
        <a:prstGeom prst="rect">
          <a:avLst/>
        </a:prstGeom>
      </xdr:spPr>
    </xdr:pic>
    <xdr:clientData/>
  </xdr:twoCellAnchor>
  <xdr:twoCellAnchor editAs="oneCell">
    <xdr:from>
      <xdr:col>14</xdr:col>
      <xdr:colOff>449580</xdr:colOff>
      <xdr:row>19</xdr:row>
      <xdr:rowOff>68580</xdr:rowOff>
    </xdr:from>
    <xdr:to>
      <xdr:col>24</xdr:col>
      <xdr:colOff>180440</xdr:colOff>
      <xdr:row>26</xdr:row>
      <xdr:rowOff>144898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F485A56-876D-1CA9-441E-8B5583AFC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83980" y="3543300"/>
          <a:ext cx="5669771" cy="1356478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99060</xdr:rowOff>
    </xdr:from>
    <xdr:to>
      <xdr:col>28</xdr:col>
      <xdr:colOff>7620</xdr:colOff>
      <xdr:row>19</xdr:row>
      <xdr:rowOff>137161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AA268E0-4E76-490A-8CF3-D6707002B7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68" t="4081" r="889" b="2268"/>
        <a:stretch/>
      </xdr:blipFill>
      <xdr:spPr>
        <a:xfrm>
          <a:off x="8907780" y="464820"/>
          <a:ext cx="7932420" cy="3147061"/>
        </a:xfrm>
        <a:prstGeom prst="rect">
          <a:avLst/>
        </a:prstGeom>
      </xdr:spPr>
    </xdr:pic>
    <xdr:clientData/>
  </xdr:twoCellAnchor>
  <xdr:twoCellAnchor editAs="oneCell">
    <xdr:from>
      <xdr:col>0</xdr:col>
      <xdr:colOff>186593</xdr:colOff>
      <xdr:row>26</xdr:row>
      <xdr:rowOff>195</xdr:rowOff>
    </xdr:from>
    <xdr:to>
      <xdr:col>13</xdr:col>
      <xdr:colOff>449385</xdr:colOff>
      <xdr:row>47</xdr:row>
      <xdr:rowOff>8203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490B98D5-E4E6-2365-915C-61E97E6A3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593" y="4826195"/>
          <a:ext cx="8136792" cy="3905931"/>
        </a:xfrm>
        <a:prstGeom prst="rect">
          <a:avLst/>
        </a:prstGeom>
      </xdr:spPr>
    </xdr:pic>
    <xdr:clientData/>
  </xdr:twoCellAnchor>
  <xdr:twoCellAnchor editAs="oneCell">
    <xdr:from>
      <xdr:col>14</xdr:col>
      <xdr:colOff>106681</xdr:colOff>
      <xdr:row>27</xdr:row>
      <xdr:rowOff>15240</xdr:rowOff>
    </xdr:from>
    <xdr:to>
      <xdr:col>28</xdr:col>
      <xdr:colOff>0</xdr:colOff>
      <xdr:row>36</xdr:row>
      <xdr:rowOff>130696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4C11F6F-DE8A-A6D7-6E68-0D3A13F5F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86373" y="5026855"/>
          <a:ext cx="7874781" cy="1785995"/>
        </a:xfrm>
        <a:prstGeom prst="rect">
          <a:avLst/>
        </a:prstGeom>
      </xdr:spPr>
    </xdr:pic>
    <xdr:clientData/>
  </xdr:twoCellAnchor>
  <xdr:twoCellAnchor editAs="oneCell">
    <xdr:from>
      <xdr:col>0</xdr:col>
      <xdr:colOff>185420</xdr:colOff>
      <xdr:row>47</xdr:row>
      <xdr:rowOff>2540</xdr:rowOff>
    </xdr:from>
    <xdr:to>
      <xdr:col>13</xdr:col>
      <xdr:colOff>459154</xdr:colOff>
      <xdr:row>69</xdr:row>
      <xdr:rowOff>165701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6CBABA2B-30F3-3701-4595-37BA05509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5420" y="8726463"/>
          <a:ext cx="8147734" cy="4246700"/>
        </a:xfrm>
        <a:prstGeom prst="rect">
          <a:avLst/>
        </a:prstGeom>
      </xdr:spPr>
    </xdr:pic>
    <xdr:clientData/>
  </xdr:twoCellAnchor>
  <xdr:twoCellAnchor editAs="oneCell">
    <xdr:from>
      <xdr:col>14</xdr:col>
      <xdr:colOff>106680</xdr:colOff>
      <xdr:row>36</xdr:row>
      <xdr:rowOff>117231</xdr:rowOff>
    </xdr:from>
    <xdr:to>
      <xdr:col>28</xdr:col>
      <xdr:colOff>9769</xdr:colOff>
      <xdr:row>58</xdr:row>
      <xdr:rowOff>155738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D4F4CA65-25CC-D7AB-8891-DD6D79E17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86372" y="6799385"/>
          <a:ext cx="7884551" cy="4122045"/>
        </a:xfrm>
        <a:prstGeom prst="rect">
          <a:avLst/>
        </a:prstGeom>
      </xdr:spPr>
    </xdr:pic>
    <xdr:clientData/>
  </xdr:twoCellAnchor>
  <xdr:twoCellAnchor editAs="oneCell">
    <xdr:from>
      <xdr:col>0</xdr:col>
      <xdr:colOff>184443</xdr:colOff>
      <xdr:row>69</xdr:row>
      <xdr:rowOff>105703</xdr:rowOff>
    </xdr:from>
    <xdr:to>
      <xdr:col>13</xdr:col>
      <xdr:colOff>459154</xdr:colOff>
      <xdr:row>91</xdr:row>
      <xdr:rowOff>117231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7BE3D924-70DF-D0D1-55FA-E427526AB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4443" y="12913165"/>
          <a:ext cx="8148711" cy="4095066"/>
        </a:xfrm>
        <a:prstGeom prst="rect">
          <a:avLst/>
        </a:prstGeom>
      </xdr:spPr>
    </xdr:pic>
    <xdr:clientData/>
  </xdr:twoCellAnchor>
  <xdr:twoCellAnchor editAs="oneCell">
    <xdr:from>
      <xdr:col>15</xdr:col>
      <xdr:colOff>2540</xdr:colOff>
      <xdr:row>58</xdr:row>
      <xdr:rowOff>146539</xdr:rowOff>
    </xdr:from>
    <xdr:to>
      <xdr:col>28</xdr:col>
      <xdr:colOff>9769</xdr:colOff>
      <xdr:row>80</xdr:row>
      <xdr:rowOff>158066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F6EE1E50-0354-4EB4-9CAA-E91B5BF44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89694" y="10912231"/>
          <a:ext cx="7881229" cy="4095066"/>
        </a:xfrm>
        <a:prstGeom prst="rect">
          <a:avLst/>
        </a:prstGeom>
      </xdr:spPr>
    </xdr:pic>
    <xdr:clientData/>
  </xdr:twoCellAnchor>
  <xdr:twoCellAnchor editAs="oneCell">
    <xdr:from>
      <xdr:col>0</xdr:col>
      <xdr:colOff>195382</xdr:colOff>
      <xdr:row>91</xdr:row>
      <xdr:rowOff>97693</xdr:rowOff>
    </xdr:from>
    <xdr:to>
      <xdr:col>12</xdr:col>
      <xdr:colOff>29305</xdr:colOff>
      <xdr:row>107</xdr:row>
      <xdr:rowOff>157874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B59DB43F-DB8C-5A25-D51B-963BF6999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5382" y="16988693"/>
          <a:ext cx="7102231" cy="3030027"/>
        </a:xfrm>
        <a:prstGeom prst="rect">
          <a:avLst/>
        </a:prstGeom>
      </xdr:spPr>
    </xdr:pic>
    <xdr:clientData/>
  </xdr:twoCellAnchor>
  <xdr:twoCellAnchor editAs="oneCell">
    <xdr:from>
      <xdr:col>14</xdr:col>
      <xdr:colOff>105703</xdr:colOff>
      <xdr:row>80</xdr:row>
      <xdr:rowOff>156307</xdr:rowOff>
    </xdr:from>
    <xdr:to>
      <xdr:col>26</xdr:col>
      <xdr:colOff>437857</xdr:colOff>
      <xdr:row>97</xdr:row>
      <xdr:rowOff>30873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3FF22EC0-72FA-42C7-BE10-45069AD31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85395" y="15005538"/>
          <a:ext cx="7102231" cy="3030027"/>
        </a:xfrm>
        <a:prstGeom prst="rect">
          <a:avLst/>
        </a:prstGeom>
      </xdr:spPr>
    </xdr:pic>
    <xdr:clientData/>
  </xdr:twoCellAnchor>
  <xdr:twoCellAnchor editAs="oneCell">
    <xdr:from>
      <xdr:col>0</xdr:col>
      <xdr:colOff>185616</xdr:colOff>
      <xdr:row>107</xdr:row>
      <xdr:rowOff>126999</xdr:rowOff>
    </xdr:from>
    <xdr:to>
      <xdr:col>13</xdr:col>
      <xdr:colOff>449385</xdr:colOff>
      <xdr:row>125</xdr:row>
      <xdr:rowOff>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5D7C6BB8-25D9-985E-098A-ED4CA753B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5616" y="19987845"/>
          <a:ext cx="8137769" cy="3214078"/>
        </a:xfrm>
        <a:prstGeom prst="rect">
          <a:avLst/>
        </a:prstGeom>
      </xdr:spPr>
    </xdr:pic>
    <xdr:clientData/>
  </xdr:twoCellAnchor>
  <xdr:twoCellAnchor editAs="oneCell">
    <xdr:from>
      <xdr:col>14</xdr:col>
      <xdr:colOff>100234</xdr:colOff>
      <xdr:row>97</xdr:row>
      <xdr:rowOff>19538</xdr:rowOff>
    </xdr:from>
    <xdr:to>
      <xdr:col>28</xdr:col>
      <xdr:colOff>9770</xdr:colOff>
      <xdr:row>114</xdr:row>
      <xdr:rowOff>78154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177CD5FE-7192-49AC-AD9C-002E7D266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79926" y="18024230"/>
          <a:ext cx="7890998" cy="3214078"/>
        </a:xfrm>
        <a:prstGeom prst="rect">
          <a:avLst/>
        </a:prstGeom>
      </xdr:spPr>
    </xdr:pic>
    <xdr:clientData/>
  </xdr:twoCellAnchor>
  <xdr:twoCellAnchor>
    <xdr:from>
      <xdr:col>9</xdr:col>
      <xdr:colOff>263769</xdr:colOff>
      <xdr:row>20</xdr:row>
      <xdr:rowOff>97692</xdr:rowOff>
    </xdr:from>
    <xdr:to>
      <xdr:col>13</xdr:col>
      <xdr:colOff>449385</xdr:colOff>
      <xdr:row>26</xdr:row>
      <xdr:rowOff>48846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D1DE4E7-82FB-3A03-02A8-34DB142FA072}"/>
            </a:ext>
          </a:extLst>
        </xdr:cNvPr>
        <xdr:cNvSpPr/>
      </xdr:nvSpPr>
      <xdr:spPr>
        <a:xfrm>
          <a:off x="5715000" y="3810000"/>
          <a:ext cx="2608385" cy="106484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146537</xdr:colOff>
      <xdr:row>20</xdr:row>
      <xdr:rowOff>39076</xdr:rowOff>
    </xdr:from>
    <xdr:to>
      <xdr:col>9</xdr:col>
      <xdr:colOff>429845</xdr:colOff>
      <xdr:row>26</xdr:row>
      <xdr:rowOff>97692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2B969C5-750F-DBB1-5316-29EB5BCA773B}"/>
            </a:ext>
          </a:extLst>
        </xdr:cNvPr>
        <xdr:cNvGrpSpPr/>
      </xdr:nvGrpSpPr>
      <xdr:grpSpPr>
        <a:xfrm>
          <a:off x="146537" y="3922345"/>
          <a:ext cx="5778500" cy="1230924"/>
          <a:chOff x="449383" y="3702538"/>
          <a:chExt cx="5734539" cy="1172308"/>
        </a:xfrm>
      </xdr:grpSpPr>
      <xdr:pic>
        <xdr:nvPicPr>
          <xdr:cNvPr id="43" name="Picture 42">
            <a:extLst>
              <a:ext uri="{FF2B5EF4-FFF2-40B4-BE49-F238E27FC236}">
                <a16:creationId xmlns:a16="http://schemas.microsoft.com/office/drawing/2014/main" id="{980DD6FB-DFF2-AD19-212C-0B83BD99C6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457199" y="3799254"/>
            <a:ext cx="5660684" cy="1015917"/>
          </a:xfrm>
          <a:prstGeom prst="rect">
            <a:avLst/>
          </a:prstGeom>
        </xdr:spPr>
      </xdr:pic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7570263A-75A9-DAF1-832F-524190EA0FA3}"/>
              </a:ext>
            </a:extLst>
          </xdr:cNvPr>
          <xdr:cNvSpPr/>
        </xdr:nvSpPr>
        <xdr:spPr>
          <a:xfrm>
            <a:off x="449383" y="3702538"/>
            <a:ext cx="5734539" cy="1172308"/>
          </a:xfrm>
          <a:prstGeom prst="rect">
            <a:avLst/>
          </a:prstGeom>
          <a:noFill/>
          <a:ln w="28575">
            <a:solidFill>
              <a:srgbClr val="0070C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23</xdr:col>
      <xdr:colOff>429847</xdr:colOff>
      <xdr:row>19</xdr:row>
      <xdr:rowOff>97692</xdr:rowOff>
    </xdr:from>
    <xdr:to>
      <xdr:col>28</xdr:col>
      <xdr:colOff>9770</xdr:colOff>
      <xdr:row>27</xdr:row>
      <xdr:rowOff>48847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11FBD5A-9005-4AF0-93A6-4956E7D96EBD}"/>
            </a:ext>
          </a:extLst>
        </xdr:cNvPr>
        <xdr:cNvSpPr/>
      </xdr:nvSpPr>
      <xdr:spPr>
        <a:xfrm>
          <a:off x="13862539" y="3624384"/>
          <a:ext cx="2608385" cy="143607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103554</xdr:colOff>
      <xdr:row>19</xdr:row>
      <xdr:rowOff>84015</xdr:rowOff>
    </xdr:from>
    <xdr:to>
      <xdr:col>24</xdr:col>
      <xdr:colOff>205153</xdr:colOff>
      <xdr:row>27</xdr:row>
      <xdr:rowOff>9769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6687A68F-8E36-4924-BA4A-FCAA435678ED}"/>
            </a:ext>
          </a:extLst>
        </xdr:cNvPr>
        <xdr:cNvSpPr/>
      </xdr:nvSpPr>
      <xdr:spPr>
        <a:xfrm>
          <a:off x="8583246" y="3610707"/>
          <a:ext cx="5660292" cy="1410677"/>
        </a:xfrm>
        <a:prstGeom prst="rect">
          <a:avLst/>
        </a:prstGeom>
        <a:noFill/>
        <a:ln w="28575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</xdr:colOff>
      <xdr:row>91</xdr:row>
      <xdr:rowOff>87924</xdr:rowOff>
    </xdr:from>
    <xdr:to>
      <xdr:col>13</xdr:col>
      <xdr:colOff>459155</xdr:colOff>
      <xdr:row>108</xdr:row>
      <xdr:rowOff>87926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4B6562D-3E69-4BF0-AE6C-834C9EE44294}"/>
            </a:ext>
          </a:extLst>
        </xdr:cNvPr>
        <xdr:cNvSpPr/>
      </xdr:nvSpPr>
      <xdr:spPr>
        <a:xfrm rot="5400000">
          <a:off x="6223000" y="18024233"/>
          <a:ext cx="3155464" cy="106484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390770</xdr:colOff>
      <xdr:row>80</xdr:row>
      <xdr:rowOff>117233</xdr:rowOff>
    </xdr:from>
    <xdr:to>
      <xdr:col>28</xdr:col>
      <xdr:colOff>9769</xdr:colOff>
      <xdr:row>97</xdr:row>
      <xdr:rowOff>29311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5BE07D8-BEEB-44B1-8357-DA5C2D2618B8}"/>
            </a:ext>
          </a:extLst>
        </xdr:cNvPr>
        <xdr:cNvSpPr/>
      </xdr:nvSpPr>
      <xdr:spPr>
        <a:xfrm rot="5400000">
          <a:off x="14521961" y="16085042"/>
          <a:ext cx="3067539" cy="83038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FF7E55-1EB5-4D82-B239-65A016F09320}" name="Table1" displayName="Table1" ref="A2:G13" totalsRowShown="0" headerRowDxfId="17" dataDxfId="16">
  <autoFilter ref="A2:G13" xr:uid="{A37DCD48-7EB0-4284-8617-58E7F7A5B3B8}"/>
  <tableColumns count="7">
    <tableColumn id="1" xr3:uid="{A004434E-43A2-4015-8DA1-B565EBC34783}" name="F Code" dataDxfId="15"/>
    <tableColumn id="8" xr3:uid="{582F8AED-BA17-42BF-83EF-8E2440765A26}" name="size" dataDxfId="14"/>
    <tableColumn id="9" xr3:uid="{CCBFD7BE-C862-4F4D-AAF4-BDD2ECA1586C}" name="color" dataDxfId="13"/>
    <tableColumn id="2" xr3:uid="{314B2F15-D601-40D9-8084-1226D9B0D43A}" name="ยอดงาน" dataDxfId="12"/>
    <tableColumn id="3" xr3:uid="{64CEFF4C-A8A3-4FB9-9127-564F82922AB5}" name="ups" dataDxfId="11"/>
    <tableColumn id="4" xr3:uid="{11C2A50C-E9AD-446B-B665-806B53456225}" name="After ups" dataDxfId="10"/>
    <tableColumn id="5" xr3:uid="{C3BC5A7F-7763-4DF5-BB5F-8189BD4FE7E7}" name="process" dataDxfId="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BCF3ED-D2E5-4CE3-A495-FFBB8B50684A}" name="Table13" displayName="Table13" ref="A2:G12" totalsRowShown="0" headerRowDxfId="8" dataDxfId="7">
  <autoFilter ref="A2:G12" xr:uid="{32D79EDC-34CF-457F-9BDB-69203A7633F0}"/>
  <tableColumns count="7">
    <tableColumn id="1" xr3:uid="{BEC21586-0789-4F5A-86B0-A913F9EE4F81}" name="F Code" dataDxfId="6"/>
    <tableColumn id="8" xr3:uid="{9EC9863C-B1F2-4E1C-B8B5-B371CDAC348B}" name="size" dataDxfId="5"/>
    <tableColumn id="9" xr3:uid="{3A02365F-055E-47C1-AC54-C3EEC862341D}" name="ความลึก/ความนูน" dataDxfId="4"/>
    <tableColumn id="5" xr3:uid="{522204AE-2A16-43AA-9EB2-69ED2CF48392}" name="process" dataDxfId="3"/>
    <tableColumn id="2" xr3:uid="{92889D25-1CFB-4170-B2CB-B846C5E8FDF1}" name="ยอดงาน" dataDxfId="2"/>
    <tableColumn id="3" xr3:uid="{2A55320D-3F63-4E1D-B151-3674AA455AD7}" name="ups" dataDxfId="1"/>
    <tableColumn id="4" xr3:uid="{610D8B8D-BCCF-491E-8831-FDC013457E2B}" name="After up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192B-B809-4271-9656-C3F5154ADB14}">
  <sheetPr>
    <tabColor theme="5" tint="0.39997558519241921"/>
  </sheetPr>
  <dimension ref="A1:Z35"/>
  <sheetViews>
    <sheetView tabSelected="1" workbookViewId="0">
      <pane xSplit="3" ySplit="2" topLeftCell="L3" activePane="bottomRight" state="frozen"/>
      <selection pane="topRight" activeCell="D1" sqref="D1"/>
      <selection pane="bottomLeft" activeCell="A3" sqref="A3"/>
      <selection pane="bottomRight" activeCell="S9" sqref="S9"/>
    </sheetView>
  </sheetViews>
  <sheetFormatPr defaultColWidth="8.85546875" defaultRowHeight="18"/>
  <cols>
    <col min="1" max="2" width="16.140625" style="1" customWidth="1"/>
    <col min="3" max="3" width="21.140625" style="9" bestFit="1" customWidth="1"/>
    <col min="4" max="4" width="16.140625" style="2" customWidth="1"/>
    <col min="5" max="5" width="16.140625" style="1" customWidth="1"/>
    <col min="6" max="6" width="16.140625" style="2" customWidth="1"/>
    <col min="7" max="7" width="16.140625" style="1" customWidth="1"/>
    <col min="8" max="8" width="7.7109375" customWidth="1"/>
    <col min="9" max="9" width="16.28515625" style="1" customWidth="1"/>
    <col min="10" max="10" width="14.7109375" style="1" customWidth="1"/>
    <col min="11" max="11" width="21.140625" style="1" bestFit="1" customWidth="1"/>
    <col min="12" max="12" width="23.7109375" style="1" bestFit="1" customWidth="1"/>
    <col min="13" max="13" width="15.28515625" customWidth="1"/>
    <col min="14" max="14" width="27.28515625" style="1" bestFit="1" customWidth="1"/>
    <col min="15" max="16" width="23.42578125" style="9" bestFit="1" customWidth="1"/>
    <col min="17" max="17" width="16.140625" style="1" customWidth="1"/>
    <col min="18" max="18" width="17.42578125" style="1" customWidth="1"/>
    <col min="19" max="19" width="26.7109375" style="1" customWidth="1"/>
    <col min="20" max="20" width="17" style="1" customWidth="1"/>
    <col min="21" max="21" width="27.28515625" style="1" customWidth="1"/>
    <col min="22" max="22" width="26.140625" style="1" bestFit="1" customWidth="1"/>
    <col min="23" max="23" width="23.42578125" style="1" bestFit="1" customWidth="1"/>
    <col min="24" max="24" width="21.7109375" style="1" bestFit="1" customWidth="1"/>
    <col min="25" max="25" width="12.5703125" style="1" customWidth="1"/>
    <col min="26" max="26" width="13.85546875" style="1" customWidth="1"/>
    <col min="27" max="27" width="12.7109375" style="1" customWidth="1"/>
    <col min="28" max="16384" width="8.85546875" style="1"/>
  </cols>
  <sheetData>
    <row r="1" spans="1:26" s="11" customFormat="1" ht="18.75" thickBot="1">
      <c r="A1" s="210" t="s">
        <v>0</v>
      </c>
      <c r="B1" s="210"/>
      <c r="C1" s="210"/>
      <c r="D1" s="210"/>
      <c r="E1" s="210"/>
      <c r="F1" s="210"/>
      <c r="G1" s="210"/>
      <c r="H1"/>
      <c r="I1" s="217" t="s">
        <v>76</v>
      </c>
      <c r="J1" s="217" t="s">
        <v>77</v>
      </c>
      <c r="K1" s="217" t="s">
        <v>78</v>
      </c>
      <c r="L1"/>
      <c r="M1" s="10"/>
      <c r="N1" s="10"/>
      <c r="O1" s="10"/>
      <c r="P1" s="10"/>
    </row>
    <row r="2" spans="1:26" ht="19.5" thickTop="1" thickBot="1">
      <c r="A2" s="1" t="s">
        <v>72</v>
      </c>
      <c r="B2" s="1" t="s">
        <v>1</v>
      </c>
      <c r="C2" s="1" t="s">
        <v>2</v>
      </c>
      <c r="D2" s="2" t="s">
        <v>3</v>
      </c>
      <c r="E2" s="1" t="s">
        <v>4</v>
      </c>
      <c r="F2" s="2" t="s">
        <v>5</v>
      </c>
      <c r="G2" s="1" t="s">
        <v>6</v>
      </c>
      <c r="I2" s="217"/>
      <c r="J2" s="217"/>
      <c r="K2" s="217"/>
      <c r="L2"/>
      <c r="M2" s="211" t="s">
        <v>46</v>
      </c>
      <c r="N2" s="211"/>
      <c r="O2" s="211"/>
      <c r="P2" s="21" t="s">
        <v>47</v>
      </c>
      <c r="Q2" s="21"/>
      <c r="R2" s="21"/>
      <c r="S2" s="12" t="s">
        <v>48</v>
      </c>
    </row>
    <row r="3" spans="1:26">
      <c r="A3" s="3" t="s">
        <v>68</v>
      </c>
      <c r="B3" s="3" t="s">
        <v>7</v>
      </c>
      <c r="C3" s="4" t="s">
        <v>8</v>
      </c>
      <c r="D3" s="5">
        <v>3000</v>
      </c>
      <c r="E3" s="3">
        <v>9</v>
      </c>
      <c r="F3" s="5">
        <v>334</v>
      </c>
      <c r="G3" s="3" t="s">
        <v>9</v>
      </c>
      <c r="I3" s="128">
        <v>2</v>
      </c>
      <c r="J3" s="128">
        <v>1</v>
      </c>
      <c r="K3" s="128">
        <v>1</v>
      </c>
      <c r="L3"/>
      <c r="M3" s="44" t="s">
        <v>7</v>
      </c>
      <c r="N3" s="45" t="s">
        <v>8</v>
      </c>
      <c r="O3" s="49" t="s">
        <v>68</v>
      </c>
      <c r="P3" s="219" t="s">
        <v>8</v>
      </c>
      <c r="Q3" s="61" t="s">
        <v>7</v>
      </c>
      <c r="R3" s="228" t="s">
        <v>68</v>
      </c>
      <c r="S3" s="72" t="s">
        <v>8</v>
      </c>
    </row>
    <row r="4" spans="1:26" ht="18.75" thickBot="1">
      <c r="A4" s="3" t="s">
        <v>68</v>
      </c>
      <c r="B4" s="3" t="s">
        <v>10</v>
      </c>
      <c r="C4" s="4" t="s">
        <v>8</v>
      </c>
      <c r="D4" s="5">
        <v>3000</v>
      </c>
      <c r="E4" s="3">
        <v>9</v>
      </c>
      <c r="F4" s="5">
        <v>334</v>
      </c>
      <c r="G4" s="3" t="s">
        <v>9</v>
      </c>
      <c r="I4" s="38">
        <v>1</v>
      </c>
      <c r="J4" s="38">
        <v>1</v>
      </c>
      <c r="K4" s="38">
        <v>1</v>
      </c>
      <c r="L4"/>
      <c r="M4" s="46" t="s">
        <v>10</v>
      </c>
      <c r="N4" s="4" t="s">
        <v>8</v>
      </c>
      <c r="O4" s="50" t="s">
        <v>68</v>
      </c>
      <c r="P4" s="220"/>
      <c r="Q4" s="62" t="s">
        <v>10</v>
      </c>
      <c r="R4" s="229"/>
      <c r="S4" s="73" t="s">
        <v>8</v>
      </c>
    </row>
    <row r="5" spans="1:26">
      <c r="A5" s="38" t="s">
        <v>68</v>
      </c>
      <c r="B5" s="38" t="s">
        <v>7</v>
      </c>
      <c r="C5" s="39" t="s">
        <v>11</v>
      </c>
      <c r="D5" s="40">
        <v>3000</v>
      </c>
      <c r="E5" s="38">
        <v>9</v>
      </c>
      <c r="F5" s="40">
        <v>334</v>
      </c>
      <c r="G5" s="38" t="s">
        <v>9</v>
      </c>
      <c r="I5" s="29">
        <v>1</v>
      </c>
      <c r="J5" s="29">
        <v>1</v>
      </c>
      <c r="K5" s="29">
        <v>1</v>
      </c>
      <c r="L5"/>
      <c r="M5" s="47" t="s">
        <v>7</v>
      </c>
      <c r="N5" s="39" t="s">
        <v>11</v>
      </c>
      <c r="O5" s="51" t="s">
        <v>73</v>
      </c>
      <c r="P5" s="220"/>
      <c r="Q5" s="230" t="s">
        <v>7</v>
      </c>
      <c r="R5" s="59" t="s">
        <v>69</v>
      </c>
      <c r="S5" s="74" t="s">
        <v>8</v>
      </c>
    </row>
    <row r="6" spans="1:26" ht="21.6" customHeight="1" thickBot="1">
      <c r="A6" s="38" t="s">
        <v>69</v>
      </c>
      <c r="B6" s="38" t="s">
        <v>7</v>
      </c>
      <c r="C6" s="39" t="s">
        <v>11</v>
      </c>
      <c r="D6" s="40">
        <v>5000</v>
      </c>
      <c r="E6" s="38">
        <v>9</v>
      </c>
      <c r="F6" s="40">
        <v>556</v>
      </c>
      <c r="G6" s="38" t="s">
        <v>9</v>
      </c>
      <c r="I6" s="32">
        <v>1</v>
      </c>
      <c r="J6" s="32">
        <v>1</v>
      </c>
      <c r="K6" s="32">
        <v>1</v>
      </c>
      <c r="L6"/>
      <c r="M6" s="20" t="s">
        <v>7</v>
      </c>
      <c r="N6" s="30" t="s">
        <v>8</v>
      </c>
      <c r="O6" s="52" t="s">
        <v>74</v>
      </c>
      <c r="P6" s="220"/>
      <c r="Q6" s="231"/>
      <c r="R6" s="63" t="s">
        <v>71</v>
      </c>
      <c r="S6" s="76" t="s">
        <v>8</v>
      </c>
    </row>
    <row r="7" spans="1:26" ht="18.75" thickBot="1">
      <c r="A7" s="38" t="s">
        <v>71</v>
      </c>
      <c r="B7" s="38" t="s">
        <v>7</v>
      </c>
      <c r="C7" s="39" t="s">
        <v>11</v>
      </c>
      <c r="D7" s="40">
        <v>5500</v>
      </c>
      <c r="E7" s="38">
        <v>9</v>
      </c>
      <c r="F7" s="40">
        <v>612</v>
      </c>
      <c r="G7" s="38" t="s">
        <v>9</v>
      </c>
      <c r="I7" s="41">
        <v>1</v>
      </c>
      <c r="J7" s="41">
        <v>1</v>
      </c>
      <c r="K7" s="41">
        <v>1</v>
      </c>
      <c r="L7"/>
      <c r="M7" s="53" t="s">
        <v>10</v>
      </c>
      <c r="N7" s="33" t="s">
        <v>12</v>
      </c>
      <c r="O7" s="54" t="s">
        <v>75</v>
      </c>
      <c r="P7" s="220"/>
      <c r="Q7" s="64" t="s">
        <v>13</v>
      </c>
      <c r="R7" s="60" t="s">
        <v>70</v>
      </c>
      <c r="S7" s="77" t="s">
        <v>11</v>
      </c>
    </row>
    <row r="8" spans="1:26" ht="18.75" thickBot="1">
      <c r="A8" s="29" t="s">
        <v>69</v>
      </c>
      <c r="B8" s="29" t="s">
        <v>7</v>
      </c>
      <c r="C8" s="30" t="s">
        <v>8</v>
      </c>
      <c r="D8" s="31">
        <v>5000</v>
      </c>
      <c r="E8" s="29">
        <v>9</v>
      </c>
      <c r="F8" s="31">
        <v>556</v>
      </c>
      <c r="G8" s="29" t="s">
        <v>9</v>
      </c>
      <c r="I8" s="35">
        <v>1</v>
      </c>
      <c r="J8" s="35">
        <v>1</v>
      </c>
      <c r="K8" s="35">
        <v>1</v>
      </c>
      <c r="M8" s="55" t="s">
        <v>13</v>
      </c>
      <c r="N8" s="42" t="s">
        <v>8</v>
      </c>
      <c r="O8" s="56" t="s">
        <v>70</v>
      </c>
      <c r="P8" s="221"/>
      <c r="Q8" s="57" t="s">
        <v>7</v>
      </c>
      <c r="R8" s="65" t="s">
        <v>70</v>
      </c>
      <c r="S8" s="75" t="s">
        <v>12</v>
      </c>
    </row>
    <row r="9" spans="1:26" ht="21.6" customHeight="1" thickBot="1">
      <c r="A9" s="29" t="s">
        <v>71</v>
      </c>
      <c r="B9" s="29" t="s">
        <v>7</v>
      </c>
      <c r="C9" s="30" t="s">
        <v>8</v>
      </c>
      <c r="D9" s="31">
        <v>5500</v>
      </c>
      <c r="E9" s="29">
        <v>9</v>
      </c>
      <c r="F9" s="31">
        <v>612</v>
      </c>
      <c r="G9" s="29" t="s">
        <v>9</v>
      </c>
      <c r="H9" s="129" t="s">
        <v>81</v>
      </c>
      <c r="I9" s="129">
        <f>SUM(I3:I8)</f>
        <v>7</v>
      </c>
      <c r="J9" s="129">
        <f t="shared" ref="J9:K9" si="0">SUM(J3:J8)</f>
        <v>6</v>
      </c>
      <c r="K9" s="129">
        <f t="shared" si="0"/>
        <v>6</v>
      </c>
      <c r="M9" s="57" t="s">
        <v>7</v>
      </c>
      <c r="N9" s="58" t="s">
        <v>8</v>
      </c>
      <c r="O9" s="68" t="s">
        <v>70</v>
      </c>
      <c r="P9" s="222" t="s">
        <v>11</v>
      </c>
      <c r="Q9" s="225" t="s">
        <v>7</v>
      </c>
      <c r="R9" s="66" t="s">
        <v>68</v>
      </c>
      <c r="S9" s="71"/>
    </row>
    <row r="10" spans="1:26">
      <c r="A10" s="32" t="s">
        <v>69</v>
      </c>
      <c r="B10" s="32" t="s">
        <v>10</v>
      </c>
      <c r="C10" s="33" t="s">
        <v>12</v>
      </c>
      <c r="D10" s="34">
        <v>5000</v>
      </c>
      <c r="E10" s="32">
        <v>9</v>
      </c>
      <c r="F10" s="34">
        <v>556</v>
      </c>
      <c r="G10" s="32" t="s">
        <v>9</v>
      </c>
      <c r="P10" s="223"/>
      <c r="Q10" s="226"/>
      <c r="R10" s="48" t="s">
        <v>69</v>
      </c>
    </row>
    <row r="11" spans="1:26" ht="18.75" thickBot="1">
      <c r="A11" s="32" t="s">
        <v>70</v>
      </c>
      <c r="B11" s="32" t="s">
        <v>10</v>
      </c>
      <c r="C11" s="33" t="s">
        <v>12</v>
      </c>
      <c r="D11" s="34">
        <v>1500</v>
      </c>
      <c r="E11" s="32">
        <v>9</v>
      </c>
      <c r="F11" s="34">
        <v>167</v>
      </c>
      <c r="G11" s="32" t="s">
        <v>9</v>
      </c>
      <c r="I11" s="218" t="s">
        <v>79</v>
      </c>
      <c r="J11" s="218" t="s">
        <v>80</v>
      </c>
      <c r="K11" s="218"/>
      <c r="O11" s="1"/>
      <c r="P11" s="224"/>
      <c r="Q11" s="227"/>
      <c r="R11" s="67" t="s">
        <v>71</v>
      </c>
      <c r="S11" s="71"/>
    </row>
    <row r="12" spans="1:26">
      <c r="A12" s="41" t="s">
        <v>70</v>
      </c>
      <c r="B12" s="41" t="s">
        <v>13</v>
      </c>
      <c r="C12" s="42" t="s">
        <v>8</v>
      </c>
      <c r="D12" s="43">
        <v>1500</v>
      </c>
      <c r="E12" s="41">
        <v>9</v>
      </c>
      <c r="F12" s="43">
        <v>167</v>
      </c>
      <c r="G12" s="41" t="s">
        <v>9</v>
      </c>
      <c r="I12" s="218"/>
      <c r="J12" s="218"/>
      <c r="K12" s="218"/>
      <c r="N12" s="130"/>
      <c r="O12" s="130"/>
      <c r="P12" s="222" t="s">
        <v>12</v>
      </c>
      <c r="Q12" s="215" t="s">
        <v>10</v>
      </c>
      <c r="R12" s="69" t="s">
        <v>69</v>
      </c>
    </row>
    <row r="13" spans="1:26" ht="21.6" customHeight="1" thickBot="1">
      <c r="A13" s="35" t="s">
        <v>70</v>
      </c>
      <c r="B13" s="35" t="s">
        <v>7</v>
      </c>
      <c r="C13" s="36" t="s">
        <v>8</v>
      </c>
      <c r="D13" s="37">
        <v>1500</v>
      </c>
      <c r="E13" s="35">
        <v>9</v>
      </c>
      <c r="F13" s="37">
        <v>167</v>
      </c>
      <c r="G13" s="35" t="s">
        <v>9</v>
      </c>
      <c r="N13" s="130"/>
      <c r="O13" s="130"/>
      <c r="P13" s="224"/>
      <c r="Q13" s="216"/>
      <c r="R13" s="70" t="s">
        <v>70</v>
      </c>
      <c r="X13" s="133"/>
      <c r="Y13" s="133"/>
    </row>
    <row r="14" spans="1:26" ht="21" customHeight="1">
      <c r="I14" s="28"/>
      <c r="Q14" s="19"/>
      <c r="X14" s="133"/>
      <c r="Y14" s="133"/>
    </row>
    <row r="15" spans="1:26" ht="21" customHeight="1">
      <c r="I15" s="28"/>
      <c r="U15" s="213" t="s">
        <v>101</v>
      </c>
      <c r="V15" s="213"/>
      <c r="W15" s="214"/>
      <c r="X15" s="145" t="s">
        <v>102</v>
      </c>
      <c r="Y15" s="146">
        <v>15000</v>
      </c>
      <c r="Z15" s="145">
        <v>15000</v>
      </c>
    </row>
    <row r="16" spans="1:26" ht="21.6" customHeight="1" thickBot="1">
      <c r="I16" s="28"/>
      <c r="N16" s="212" t="s">
        <v>49</v>
      </c>
      <c r="O16" s="212"/>
      <c r="P16" s="212"/>
      <c r="U16" s="213"/>
      <c r="V16" s="213"/>
      <c r="W16" s="214"/>
      <c r="X16" s="147" t="s">
        <v>103</v>
      </c>
      <c r="Y16" s="148" t="s">
        <v>104</v>
      </c>
      <c r="Z16" s="147" t="s">
        <v>105</v>
      </c>
    </row>
    <row r="17" spans="1:26">
      <c r="I17" s="28"/>
      <c r="M17" s="1" t="s">
        <v>82</v>
      </c>
      <c r="N17" s="89" t="s">
        <v>50</v>
      </c>
      <c r="O17" s="88" t="s">
        <v>68</v>
      </c>
      <c r="P17" s="87" t="s">
        <v>51</v>
      </c>
      <c r="U17" s="185" t="s">
        <v>50</v>
      </c>
      <c r="V17" s="186" t="s">
        <v>68</v>
      </c>
      <c r="W17" s="187" t="s">
        <v>51</v>
      </c>
      <c r="X17" s="134">
        <v>192</v>
      </c>
      <c r="Y17" s="139">
        <v>9</v>
      </c>
      <c r="Z17" s="135">
        <v>1728</v>
      </c>
    </row>
    <row r="18" spans="1:26">
      <c r="A18" s="25"/>
      <c r="I18" s="28"/>
      <c r="M18" s="1" t="s">
        <v>83</v>
      </c>
      <c r="N18" s="80" t="s">
        <v>50</v>
      </c>
      <c r="O18" s="78" t="s">
        <v>68</v>
      </c>
      <c r="P18" s="79" t="s">
        <v>52</v>
      </c>
      <c r="R18" s="22"/>
      <c r="U18" s="188" t="s">
        <v>50</v>
      </c>
      <c r="V18" s="189" t="s">
        <v>68</v>
      </c>
      <c r="W18" s="190" t="s">
        <v>52</v>
      </c>
      <c r="X18" s="138">
        <v>264</v>
      </c>
      <c r="Y18" s="140">
        <v>9</v>
      </c>
      <c r="Z18" s="136">
        <v>2376</v>
      </c>
    </row>
    <row r="19" spans="1:26">
      <c r="I19" s="28"/>
      <c r="M19" s="1" t="s">
        <v>89</v>
      </c>
      <c r="N19" s="80" t="s">
        <v>53</v>
      </c>
      <c r="O19" s="81"/>
      <c r="P19" s="79" t="s">
        <v>54</v>
      </c>
      <c r="R19" s="22"/>
      <c r="U19" s="188" t="s">
        <v>53</v>
      </c>
      <c r="V19" s="191"/>
      <c r="W19" s="190" t="s">
        <v>54</v>
      </c>
      <c r="X19" s="206">
        <f>0.3958+0.6597</f>
        <v>1.0554999999999999</v>
      </c>
      <c r="Y19" s="141">
        <v>3000</v>
      </c>
      <c r="Z19" s="136">
        <f>X19*Y19</f>
        <v>3166.4999999999995</v>
      </c>
    </row>
    <row r="20" spans="1:26" ht="18.75" thickBot="1">
      <c r="I20" s="28"/>
      <c r="M20" s="1" t="s">
        <v>95</v>
      </c>
      <c r="N20" s="101" t="s">
        <v>0</v>
      </c>
      <c r="O20" s="102"/>
      <c r="P20" s="103"/>
      <c r="R20" s="9"/>
      <c r="U20" s="192" t="s">
        <v>0</v>
      </c>
      <c r="V20" s="193"/>
      <c r="W20" s="194"/>
      <c r="X20" s="132">
        <v>0.22222</v>
      </c>
      <c r="Y20" s="142">
        <v>3000</v>
      </c>
      <c r="Z20" s="137">
        <v>1000</v>
      </c>
    </row>
    <row r="21" spans="1:26">
      <c r="E21" s="25"/>
      <c r="I21" s="28"/>
      <c r="M21" s="1" t="s">
        <v>84</v>
      </c>
      <c r="N21" s="98" t="s">
        <v>50</v>
      </c>
      <c r="O21" s="99" t="s">
        <v>73</v>
      </c>
      <c r="P21" s="100" t="s">
        <v>51</v>
      </c>
      <c r="U21" s="185" t="s">
        <v>50</v>
      </c>
      <c r="V21" s="195" t="s">
        <v>73</v>
      </c>
      <c r="W21" s="196" t="s">
        <v>51</v>
      </c>
      <c r="X21" s="134">
        <v>192</v>
      </c>
      <c r="Y21" s="139">
        <v>9</v>
      </c>
      <c r="Z21" s="135">
        <v>1728</v>
      </c>
    </row>
    <row r="22" spans="1:26">
      <c r="I22" s="28"/>
      <c r="M22" s="1" t="s">
        <v>90</v>
      </c>
      <c r="N22" s="83" t="s">
        <v>55</v>
      </c>
      <c r="O22" s="84"/>
      <c r="P22" s="82" t="s">
        <v>56</v>
      </c>
      <c r="U22" s="188" t="s">
        <v>55</v>
      </c>
      <c r="V22" s="191"/>
      <c r="W22" s="190" t="s">
        <v>56</v>
      </c>
      <c r="X22" s="143">
        <v>9.9000000000000005E-2</v>
      </c>
      <c r="Y22" s="207">
        <f>3000+5000+5500</f>
        <v>13500</v>
      </c>
      <c r="Z22" s="136">
        <v>1336.5</v>
      </c>
    </row>
    <row r="23" spans="1:26" ht="18.75" thickBot="1">
      <c r="I23" s="28"/>
      <c r="M23" s="1" t="s">
        <v>96</v>
      </c>
      <c r="N23" s="85" t="s">
        <v>0</v>
      </c>
      <c r="O23" s="86"/>
      <c r="P23" s="82"/>
      <c r="U23" s="192" t="s">
        <v>0</v>
      </c>
      <c r="V23" s="193"/>
      <c r="W23" s="194"/>
      <c r="X23" s="132">
        <v>0.12592999999999999</v>
      </c>
      <c r="Y23" s="208">
        <f>3000+5000+5500</f>
        <v>13500</v>
      </c>
      <c r="Z23" s="137">
        <v>1700.05</v>
      </c>
    </row>
    <row r="24" spans="1:26">
      <c r="I24" s="28"/>
      <c r="M24" s="1" t="s">
        <v>85</v>
      </c>
      <c r="N24" s="90" t="s">
        <v>50</v>
      </c>
      <c r="O24" s="91" t="s">
        <v>74</v>
      </c>
      <c r="P24" s="92" t="s">
        <v>51</v>
      </c>
      <c r="U24" s="185" t="s">
        <v>50</v>
      </c>
      <c r="V24" s="186" t="s">
        <v>74</v>
      </c>
      <c r="W24" s="197" t="s">
        <v>51</v>
      </c>
      <c r="X24" s="134">
        <v>192</v>
      </c>
      <c r="Y24" s="139">
        <v>9</v>
      </c>
      <c r="Z24" s="135">
        <v>1728</v>
      </c>
    </row>
    <row r="25" spans="1:26">
      <c r="M25" s="1" t="s">
        <v>91</v>
      </c>
      <c r="N25" s="93" t="s">
        <v>53</v>
      </c>
      <c r="O25" s="94"/>
      <c r="P25" s="95" t="s">
        <v>54</v>
      </c>
      <c r="U25" s="188" t="s">
        <v>53</v>
      </c>
      <c r="V25" s="191"/>
      <c r="W25" s="198" t="s">
        <v>54</v>
      </c>
      <c r="X25" s="131">
        <v>0.39579999999999999</v>
      </c>
      <c r="Y25" s="207">
        <f>5000+5500</f>
        <v>10500</v>
      </c>
      <c r="Z25" s="136">
        <v>4155.8999999999996</v>
      </c>
    </row>
    <row r="26" spans="1:26" ht="18.75" thickBot="1">
      <c r="M26" s="1" t="s">
        <v>97</v>
      </c>
      <c r="N26" s="96" t="s">
        <v>0</v>
      </c>
      <c r="O26" s="97"/>
      <c r="P26" s="95"/>
      <c r="U26" s="192" t="s">
        <v>0</v>
      </c>
      <c r="V26" s="193"/>
      <c r="W26" s="194"/>
      <c r="X26" s="132">
        <v>0.12592999999999999</v>
      </c>
      <c r="Y26" s="208">
        <f>5000+5500</f>
        <v>10500</v>
      </c>
      <c r="Z26" s="137">
        <v>1322.26</v>
      </c>
    </row>
    <row r="27" spans="1:26">
      <c r="M27" s="1" t="s">
        <v>86</v>
      </c>
      <c r="N27" s="104" t="s">
        <v>50</v>
      </c>
      <c r="O27" s="105" t="s">
        <v>75</v>
      </c>
      <c r="P27" s="106" t="s">
        <v>52</v>
      </c>
      <c r="U27" s="185" t="s">
        <v>50</v>
      </c>
      <c r="V27" s="195" t="s">
        <v>75</v>
      </c>
      <c r="W27" s="196" t="s">
        <v>52</v>
      </c>
      <c r="X27" s="134">
        <v>264</v>
      </c>
      <c r="Y27" s="139">
        <v>9</v>
      </c>
      <c r="Z27" s="135">
        <v>2376</v>
      </c>
    </row>
    <row r="28" spans="1:26">
      <c r="M28" s="1" t="s">
        <v>92</v>
      </c>
      <c r="N28" s="104" t="s">
        <v>55</v>
      </c>
      <c r="O28" s="107"/>
      <c r="P28" s="106" t="s">
        <v>57</v>
      </c>
      <c r="U28" s="188" t="s">
        <v>55</v>
      </c>
      <c r="V28" s="191"/>
      <c r="W28" s="190" t="s">
        <v>57</v>
      </c>
      <c r="X28" s="131">
        <v>0.29509999999999997</v>
      </c>
      <c r="Y28" s="207">
        <f>5000+1500</f>
        <v>6500</v>
      </c>
      <c r="Z28" s="136">
        <v>1918.15</v>
      </c>
    </row>
    <row r="29" spans="1:26" ht="18.75" thickBot="1">
      <c r="A29" s="10"/>
      <c r="B29" s="10"/>
      <c r="C29" s="10"/>
      <c r="M29" s="1" t="s">
        <v>98</v>
      </c>
      <c r="N29" s="108" t="s">
        <v>0</v>
      </c>
      <c r="O29" s="109"/>
      <c r="P29" s="110"/>
      <c r="U29" s="192" t="s">
        <v>0</v>
      </c>
      <c r="V29" s="193"/>
      <c r="W29" s="199"/>
      <c r="X29" s="144">
        <v>0.15</v>
      </c>
      <c r="Y29" s="208">
        <f>5000+1500</f>
        <v>6500</v>
      </c>
      <c r="Z29" s="137">
        <v>1000</v>
      </c>
    </row>
    <row r="30" spans="1:26">
      <c r="M30" s="1" t="s">
        <v>87</v>
      </c>
      <c r="N30" s="111" t="s">
        <v>50</v>
      </c>
      <c r="O30" s="112" t="s">
        <v>70</v>
      </c>
      <c r="P30" s="113" t="s">
        <v>58</v>
      </c>
      <c r="U30" s="185" t="s">
        <v>50</v>
      </c>
      <c r="V30" s="186" t="s">
        <v>70</v>
      </c>
      <c r="W30" s="200" t="s">
        <v>58</v>
      </c>
      <c r="X30" s="134">
        <v>360</v>
      </c>
      <c r="Y30" s="139">
        <v>9</v>
      </c>
      <c r="Z30" s="135">
        <v>3240</v>
      </c>
    </row>
    <row r="31" spans="1:26">
      <c r="M31" s="1" t="s">
        <v>93</v>
      </c>
      <c r="N31" s="114" t="s">
        <v>53</v>
      </c>
      <c r="O31" s="115"/>
      <c r="P31" s="116" t="s">
        <v>54</v>
      </c>
      <c r="U31" s="188" t="s">
        <v>53</v>
      </c>
      <c r="V31" s="191"/>
      <c r="W31" s="190" t="s">
        <v>54</v>
      </c>
      <c r="X31" s="131">
        <v>1.1875</v>
      </c>
      <c r="Y31" s="140">
        <v>1500</v>
      </c>
      <c r="Z31" s="136">
        <v>3800</v>
      </c>
    </row>
    <row r="32" spans="1:26" ht="18.75" thickBot="1">
      <c r="M32" s="1" t="s">
        <v>99</v>
      </c>
      <c r="N32" s="117" t="s">
        <v>0</v>
      </c>
      <c r="O32" s="118"/>
      <c r="P32" s="116"/>
      <c r="U32" s="192" t="s">
        <v>0</v>
      </c>
      <c r="V32" s="193"/>
      <c r="W32" s="194"/>
      <c r="X32" s="132">
        <v>0.22222</v>
      </c>
      <c r="Y32" s="142">
        <v>1500</v>
      </c>
      <c r="Z32" s="137">
        <v>1000</v>
      </c>
    </row>
    <row r="33" spans="13:26">
      <c r="M33" s="1" t="s">
        <v>88</v>
      </c>
      <c r="N33" s="119" t="s">
        <v>50</v>
      </c>
      <c r="O33" s="120" t="s">
        <v>70</v>
      </c>
      <c r="P33" s="121" t="s">
        <v>51</v>
      </c>
      <c r="U33" s="185" t="s">
        <v>50</v>
      </c>
      <c r="V33" s="186" t="s">
        <v>70</v>
      </c>
      <c r="W33" s="187" t="s">
        <v>51</v>
      </c>
      <c r="X33" s="134">
        <v>192</v>
      </c>
      <c r="Y33" s="139">
        <v>9</v>
      </c>
      <c r="Z33" s="135">
        <v>1728</v>
      </c>
    </row>
    <row r="34" spans="13:26">
      <c r="M34" s="1" t="s">
        <v>94</v>
      </c>
      <c r="N34" s="122" t="s">
        <v>53</v>
      </c>
      <c r="O34" s="123"/>
      <c r="P34" s="124" t="s">
        <v>54</v>
      </c>
      <c r="U34" s="188" t="s">
        <v>53</v>
      </c>
      <c r="V34" s="191"/>
      <c r="W34" s="190" t="s">
        <v>54</v>
      </c>
      <c r="X34" s="131">
        <v>0.39579999999999999</v>
      </c>
      <c r="Y34" s="140">
        <v>1500</v>
      </c>
      <c r="Z34" s="136">
        <v>3800</v>
      </c>
    </row>
    <row r="35" spans="13:26" ht="18.75" thickBot="1">
      <c r="M35" s="1" t="s">
        <v>100</v>
      </c>
      <c r="N35" s="125" t="s">
        <v>0</v>
      </c>
      <c r="O35" s="126"/>
      <c r="P35" s="127"/>
      <c r="U35" s="192" t="s">
        <v>0</v>
      </c>
      <c r="V35" s="193"/>
      <c r="W35" s="199"/>
      <c r="X35" s="132">
        <v>0.22222</v>
      </c>
      <c r="Y35" s="142">
        <v>1500</v>
      </c>
      <c r="Z35" s="137">
        <v>1000</v>
      </c>
    </row>
  </sheetData>
  <mergeCells count="16">
    <mergeCell ref="A1:G1"/>
    <mergeCell ref="M2:O2"/>
    <mergeCell ref="N16:P16"/>
    <mergeCell ref="U15:W16"/>
    <mergeCell ref="Q12:Q13"/>
    <mergeCell ref="I1:I2"/>
    <mergeCell ref="J1:J2"/>
    <mergeCell ref="K1:K2"/>
    <mergeCell ref="J11:K12"/>
    <mergeCell ref="I11:I12"/>
    <mergeCell ref="P3:P8"/>
    <mergeCell ref="P9:P11"/>
    <mergeCell ref="P12:P13"/>
    <mergeCell ref="Q9:Q11"/>
    <mergeCell ref="R3:R4"/>
    <mergeCell ref="Q5:Q6"/>
  </mergeCells>
  <phoneticPr fontId="7" type="noConversion"/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77E4CF8-6BBA-4C76-AA2D-5F119F8E4669}">
          <x14:formula1>
            <xm:f>data!$C$2:$C$32</xm:f>
          </x14:formula1>
          <xm:sqref>C3:C13</xm:sqref>
        </x14:dataValidation>
        <x14:dataValidation type="list" allowBlank="1" showInputMessage="1" showErrorMessage="1" xr:uid="{DAD5CE3C-D5E3-4798-AAA6-48804C055B1D}">
          <x14:formula1>
            <xm:f>data!$A$2:$A$4</xm:f>
          </x14:formula1>
          <xm:sqref>G3:G13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EEB3-6062-4525-BEFD-0AF18881D990}">
  <sheetPr>
    <tabColor theme="8" tint="0.39997558519241921"/>
  </sheetPr>
  <dimension ref="A1:U25"/>
  <sheetViews>
    <sheetView zoomScale="98" zoomScaleNormal="98" workbookViewId="0">
      <pane xSplit="4" ySplit="2" topLeftCell="E6" activePane="bottomRight" state="frozen"/>
      <selection pane="topRight" activeCell="E1" sqref="E1"/>
      <selection pane="bottomLeft" activeCell="A3" sqref="A3"/>
      <selection pane="bottomRight" activeCell="X9" sqref="X9"/>
    </sheetView>
  </sheetViews>
  <sheetFormatPr defaultColWidth="8.85546875" defaultRowHeight="18"/>
  <cols>
    <col min="1" max="2" width="14.7109375" style="22" customWidth="1"/>
    <col min="3" max="3" width="21.140625" style="22" bestFit="1" customWidth="1"/>
    <col min="4" max="7" width="14.7109375" style="22" customWidth="1"/>
    <col min="8" max="10" width="14.7109375" customWidth="1"/>
    <col min="11" max="11" width="8.85546875" style="22"/>
    <col min="12" max="12" width="17.85546875" style="22" customWidth="1"/>
    <col min="13" max="13" width="24.42578125" style="22" bestFit="1" customWidth="1"/>
    <col min="14" max="14" width="17.85546875" style="22" customWidth="1"/>
    <col min="15" max="15" width="24.28515625" style="22" bestFit="1" customWidth="1"/>
    <col min="16" max="16" width="16.42578125" style="22" customWidth="1"/>
    <col min="17" max="17" width="24.42578125" style="22" bestFit="1" customWidth="1"/>
    <col min="18" max="18" width="17.28515625" style="22" customWidth="1"/>
    <col min="19" max="19" width="10.5703125" style="22" bestFit="1" customWidth="1"/>
    <col min="20" max="21" width="9.85546875" style="22" customWidth="1"/>
    <col min="22" max="16384" width="8.85546875" style="22"/>
  </cols>
  <sheetData>
    <row r="1" spans="1:21" ht="18.75" thickBot="1">
      <c r="A1" s="210" t="s">
        <v>59</v>
      </c>
      <c r="B1" s="210"/>
      <c r="C1" s="210"/>
      <c r="D1" s="210"/>
      <c r="E1" s="210"/>
      <c r="F1" s="210"/>
      <c r="G1" s="210"/>
    </row>
    <row r="2" spans="1:21" ht="19.5" thickTop="1" thickBot="1">
      <c r="A2" s="1" t="s">
        <v>72</v>
      </c>
      <c r="B2" s="1" t="s">
        <v>1</v>
      </c>
      <c r="C2" s="1" t="s">
        <v>14</v>
      </c>
      <c r="D2" s="1" t="s">
        <v>6</v>
      </c>
      <c r="E2" s="2" t="s">
        <v>3</v>
      </c>
      <c r="F2" s="1" t="s">
        <v>4</v>
      </c>
      <c r="G2" s="2" t="s">
        <v>5</v>
      </c>
      <c r="L2" s="232" t="s">
        <v>60</v>
      </c>
      <c r="M2" s="232"/>
      <c r="N2" s="232"/>
      <c r="O2" s="232"/>
      <c r="P2" s="12" t="s">
        <v>61</v>
      </c>
    </row>
    <row r="3" spans="1:21">
      <c r="A3" s="3" t="s">
        <v>68</v>
      </c>
      <c r="B3" s="3" t="s">
        <v>10</v>
      </c>
      <c r="C3" s="3">
        <v>1.25</v>
      </c>
      <c r="D3" s="3" t="s">
        <v>17</v>
      </c>
      <c r="E3" s="5">
        <v>3000</v>
      </c>
      <c r="F3" s="3">
        <v>9</v>
      </c>
      <c r="G3" s="5">
        <v>334</v>
      </c>
      <c r="L3" s="44" t="s">
        <v>10</v>
      </c>
      <c r="M3" s="156">
        <v>1.25</v>
      </c>
      <c r="N3" s="156" t="s">
        <v>17</v>
      </c>
      <c r="O3" s="163" t="s">
        <v>68</v>
      </c>
      <c r="P3" s="13" t="s">
        <v>106</v>
      </c>
    </row>
    <row r="4" spans="1:21">
      <c r="A4" s="38" t="s">
        <v>68</v>
      </c>
      <c r="B4" s="38" t="s">
        <v>7</v>
      </c>
      <c r="C4" s="38">
        <v>1.65</v>
      </c>
      <c r="D4" s="38" t="s">
        <v>17</v>
      </c>
      <c r="E4" s="40">
        <v>3000</v>
      </c>
      <c r="F4" s="38">
        <v>9</v>
      </c>
      <c r="G4" s="40">
        <v>334</v>
      </c>
      <c r="L4" s="157" t="s">
        <v>7</v>
      </c>
      <c r="M4" s="152">
        <v>1.65</v>
      </c>
      <c r="N4" s="152" t="s">
        <v>17</v>
      </c>
      <c r="O4" s="164" t="s">
        <v>73</v>
      </c>
      <c r="P4" s="169" t="s">
        <v>107</v>
      </c>
    </row>
    <row r="5" spans="1:21">
      <c r="A5" s="38" t="s">
        <v>69</v>
      </c>
      <c r="B5" s="38" t="s">
        <v>7</v>
      </c>
      <c r="C5" s="38">
        <v>1.65</v>
      </c>
      <c r="D5" s="38" t="s">
        <v>17</v>
      </c>
      <c r="E5" s="40">
        <v>5000</v>
      </c>
      <c r="F5" s="38">
        <v>9</v>
      </c>
      <c r="G5" s="40">
        <v>556</v>
      </c>
      <c r="L5" s="158" t="s">
        <v>7</v>
      </c>
      <c r="M5" s="153">
        <v>1.25</v>
      </c>
      <c r="N5" s="153" t="s">
        <v>19</v>
      </c>
      <c r="O5" s="165" t="s">
        <v>74</v>
      </c>
      <c r="P5" s="170" t="s">
        <v>108</v>
      </c>
    </row>
    <row r="6" spans="1:21">
      <c r="A6" s="38" t="s">
        <v>71</v>
      </c>
      <c r="B6" s="38" t="s">
        <v>7</v>
      </c>
      <c r="C6" s="38">
        <v>1.65</v>
      </c>
      <c r="D6" s="38" t="s">
        <v>17</v>
      </c>
      <c r="E6" s="40">
        <v>5500</v>
      </c>
      <c r="F6" s="38">
        <v>9</v>
      </c>
      <c r="G6" s="40">
        <v>612</v>
      </c>
      <c r="L6" s="159" t="s">
        <v>10</v>
      </c>
      <c r="M6" s="154">
        <v>1.65</v>
      </c>
      <c r="N6" s="154" t="s">
        <v>19</v>
      </c>
      <c r="O6" s="166" t="s">
        <v>75</v>
      </c>
      <c r="P6" s="14" t="s">
        <v>109</v>
      </c>
    </row>
    <row r="7" spans="1:21" ht="36">
      <c r="A7" s="29" t="s">
        <v>69</v>
      </c>
      <c r="B7" s="29" t="s">
        <v>7</v>
      </c>
      <c r="C7" s="29">
        <v>1.25</v>
      </c>
      <c r="D7" s="29" t="s">
        <v>19</v>
      </c>
      <c r="E7" s="31">
        <v>5000</v>
      </c>
      <c r="F7" s="29">
        <v>9</v>
      </c>
      <c r="G7" s="31">
        <v>556</v>
      </c>
      <c r="L7" s="160" t="s">
        <v>13</v>
      </c>
      <c r="M7" s="155">
        <v>1.25</v>
      </c>
      <c r="N7" s="155" t="s">
        <v>17</v>
      </c>
      <c r="O7" s="167" t="s">
        <v>70</v>
      </c>
      <c r="P7" s="171" t="s">
        <v>106</v>
      </c>
    </row>
    <row r="8" spans="1:21" ht="36.75" thickBot="1">
      <c r="A8" s="29" t="s">
        <v>71</v>
      </c>
      <c r="B8" s="29" t="s">
        <v>7</v>
      </c>
      <c r="C8" s="29">
        <v>1.25</v>
      </c>
      <c r="D8" s="29" t="s">
        <v>19</v>
      </c>
      <c r="E8" s="31">
        <v>5500</v>
      </c>
      <c r="F8" s="29">
        <v>9</v>
      </c>
      <c r="G8" s="31">
        <v>612</v>
      </c>
      <c r="I8" t="s">
        <v>67</v>
      </c>
      <c r="L8" s="161" t="s">
        <v>7</v>
      </c>
      <c r="M8" s="162">
        <v>1.25</v>
      </c>
      <c r="N8" s="162" t="s">
        <v>17</v>
      </c>
      <c r="O8" s="168" t="s">
        <v>70</v>
      </c>
      <c r="P8" s="172" t="s">
        <v>106</v>
      </c>
    </row>
    <row r="9" spans="1:21">
      <c r="A9" s="32" t="s">
        <v>69</v>
      </c>
      <c r="B9" s="32" t="s">
        <v>10</v>
      </c>
      <c r="C9" s="32">
        <v>1.65</v>
      </c>
      <c r="D9" s="32" t="s">
        <v>19</v>
      </c>
      <c r="E9" s="34">
        <v>5000</v>
      </c>
      <c r="F9" s="32">
        <v>9</v>
      </c>
      <c r="G9" s="34">
        <v>556</v>
      </c>
      <c r="L9" s="15"/>
      <c r="M9" s="15"/>
      <c r="N9" s="15"/>
      <c r="O9" s="15"/>
    </row>
    <row r="10" spans="1:21">
      <c r="A10" s="32" t="s">
        <v>70</v>
      </c>
      <c r="B10" s="32" t="s">
        <v>10</v>
      </c>
      <c r="C10" s="32">
        <v>1.65</v>
      </c>
      <c r="D10" s="32" t="s">
        <v>19</v>
      </c>
      <c r="E10" s="34">
        <v>1500</v>
      </c>
      <c r="F10" s="32">
        <v>9</v>
      </c>
      <c r="G10" s="34">
        <v>167</v>
      </c>
    </row>
    <row r="11" spans="1:21">
      <c r="A11" s="41" t="s">
        <v>70</v>
      </c>
      <c r="B11" s="41" t="s">
        <v>13</v>
      </c>
      <c r="C11" s="41">
        <v>1.25</v>
      </c>
      <c r="D11" s="41" t="s">
        <v>17</v>
      </c>
      <c r="E11" s="43">
        <v>1500</v>
      </c>
      <c r="F11" s="41">
        <v>9</v>
      </c>
      <c r="G11" s="43">
        <v>167</v>
      </c>
      <c r="P11" s="213" t="s">
        <v>101</v>
      </c>
      <c r="Q11" s="213"/>
      <c r="R11" s="214"/>
      <c r="S11" s="145" t="s">
        <v>102</v>
      </c>
      <c r="T11" s="146">
        <v>15000</v>
      </c>
      <c r="U11" s="145">
        <v>15000</v>
      </c>
    </row>
    <row r="12" spans="1:21" ht="18.75" thickBot="1">
      <c r="A12" s="35" t="s">
        <v>70</v>
      </c>
      <c r="B12" s="35" t="s">
        <v>7</v>
      </c>
      <c r="C12" s="35">
        <v>1.25</v>
      </c>
      <c r="D12" s="35" t="s">
        <v>17</v>
      </c>
      <c r="E12" s="37">
        <v>1500</v>
      </c>
      <c r="F12" s="35">
        <v>9</v>
      </c>
      <c r="G12" s="37">
        <v>167</v>
      </c>
      <c r="O12" s="15"/>
      <c r="P12" s="213"/>
      <c r="Q12" s="213"/>
      <c r="R12" s="214"/>
      <c r="S12" s="147" t="s">
        <v>103</v>
      </c>
      <c r="T12" s="148" t="s">
        <v>104</v>
      </c>
      <c r="U12" s="147" t="s">
        <v>105</v>
      </c>
    </row>
    <row r="13" spans="1:21" ht="18.75" thickBot="1">
      <c r="A13" s="1"/>
      <c r="K13" s="173"/>
      <c r="L13" s="233" t="s">
        <v>62</v>
      </c>
      <c r="M13" s="233"/>
      <c r="N13" s="233"/>
      <c r="P13" s="201" t="s">
        <v>63</v>
      </c>
      <c r="Q13" s="195" t="s">
        <v>68</v>
      </c>
      <c r="R13" s="196" t="s">
        <v>52</v>
      </c>
      <c r="S13" s="134">
        <v>408</v>
      </c>
      <c r="T13" s="139">
        <v>9</v>
      </c>
      <c r="U13" s="135">
        <v>3672</v>
      </c>
    </row>
    <row r="14" spans="1:21" ht="18.75" thickBot="1">
      <c r="K14" s="173"/>
      <c r="L14" s="23" t="s">
        <v>63</v>
      </c>
      <c r="M14" s="16" t="s">
        <v>68</v>
      </c>
      <c r="N14" s="17" t="s">
        <v>52</v>
      </c>
      <c r="P14" s="192" t="s">
        <v>64</v>
      </c>
      <c r="Q14" s="193"/>
      <c r="R14" s="199"/>
      <c r="S14" s="132">
        <v>0.22222</v>
      </c>
      <c r="T14" s="142">
        <v>3000</v>
      </c>
      <c r="U14" s="137">
        <v>1000</v>
      </c>
    </row>
    <row r="15" spans="1:21" ht="18.75" thickBot="1">
      <c r="K15" s="173"/>
      <c r="L15" s="26" t="s">
        <v>64</v>
      </c>
      <c r="M15" s="27"/>
      <c r="N15" s="18"/>
      <c r="P15" s="202" t="s">
        <v>63</v>
      </c>
      <c r="Q15" s="189" t="s">
        <v>110</v>
      </c>
      <c r="R15" s="198" t="s">
        <v>51</v>
      </c>
      <c r="S15" s="149">
        <v>264</v>
      </c>
      <c r="T15" s="150">
        <v>9</v>
      </c>
      <c r="U15" s="151">
        <v>2376</v>
      </c>
    </row>
    <row r="16" spans="1:21" ht="18.75" thickBot="1">
      <c r="K16" s="173"/>
      <c r="L16" s="24" t="s">
        <v>63</v>
      </c>
      <c r="M16" s="16" t="s">
        <v>110</v>
      </c>
      <c r="N16" s="17" t="s">
        <v>51</v>
      </c>
      <c r="P16" s="192" t="s">
        <v>64</v>
      </c>
      <c r="Q16" s="193"/>
      <c r="R16" s="194"/>
      <c r="S16" s="174">
        <v>0.12592999999999999</v>
      </c>
      <c r="T16" s="209">
        <f>3000+5000+5500</f>
        <v>13500</v>
      </c>
      <c r="U16" s="177">
        <v>1700.05</v>
      </c>
    </row>
    <row r="17" spans="1:21" ht="18.75" thickBot="1">
      <c r="K17" s="173"/>
      <c r="L17" s="26" t="s">
        <v>64</v>
      </c>
      <c r="M17" s="27"/>
      <c r="N17" s="18"/>
      <c r="P17" s="202" t="s">
        <v>65</v>
      </c>
      <c r="Q17" s="189" t="s">
        <v>111</v>
      </c>
      <c r="R17" s="198" t="s">
        <v>51</v>
      </c>
      <c r="S17" s="182">
        <v>189</v>
      </c>
      <c r="T17" s="180">
        <v>9</v>
      </c>
      <c r="U17" s="178">
        <v>1701</v>
      </c>
    </row>
    <row r="18" spans="1:21" ht="18.75" thickBot="1">
      <c r="A18" s="1"/>
      <c r="K18" s="173"/>
      <c r="L18" s="24" t="s">
        <v>65</v>
      </c>
      <c r="M18" s="16" t="s">
        <v>111</v>
      </c>
      <c r="N18" s="17" t="s">
        <v>51</v>
      </c>
      <c r="P18" s="192" t="s">
        <v>66</v>
      </c>
      <c r="Q18" s="193"/>
      <c r="R18" s="194"/>
      <c r="S18" s="175">
        <v>0.12592999999999999</v>
      </c>
      <c r="T18" s="209">
        <f>5000+5500</f>
        <v>10500</v>
      </c>
      <c r="U18" s="137">
        <v>1322.26</v>
      </c>
    </row>
    <row r="19" spans="1:21" ht="18.75" thickBot="1">
      <c r="K19" s="173"/>
      <c r="L19" s="26" t="s">
        <v>66</v>
      </c>
      <c r="M19" s="27"/>
      <c r="N19" s="18"/>
      <c r="P19" s="202" t="s">
        <v>65</v>
      </c>
      <c r="Q19" s="189" t="s">
        <v>75</v>
      </c>
      <c r="R19" s="198" t="s">
        <v>52</v>
      </c>
      <c r="S19" s="134">
        <v>282</v>
      </c>
      <c r="T19" s="181">
        <v>9</v>
      </c>
      <c r="U19" s="135">
        <v>2538</v>
      </c>
    </row>
    <row r="20" spans="1:21" ht="18.75" thickBot="1">
      <c r="K20" s="173"/>
      <c r="L20" s="24" t="s">
        <v>65</v>
      </c>
      <c r="M20" s="16" t="s">
        <v>75</v>
      </c>
      <c r="N20" s="17" t="s">
        <v>52</v>
      </c>
      <c r="P20" s="192" t="s">
        <v>66</v>
      </c>
      <c r="Q20" s="193"/>
      <c r="R20" s="194"/>
      <c r="S20" s="183">
        <v>0.15</v>
      </c>
      <c r="T20" s="209">
        <f>5000+1500</f>
        <v>6500</v>
      </c>
      <c r="U20" s="177">
        <v>1000</v>
      </c>
    </row>
    <row r="21" spans="1:21" ht="18.75" thickBot="1">
      <c r="K21" s="173"/>
      <c r="L21" s="26" t="s">
        <v>66</v>
      </c>
      <c r="M21" s="27"/>
      <c r="N21" s="18"/>
      <c r="P21" s="201" t="s">
        <v>63</v>
      </c>
      <c r="Q21" s="189" t="s">
        <v>70</v>
      </c>
      <c r="R21" s="198" t="s">
        <v>58</v>
      </c>
      <c r="S21" s="182">
        <v>600</v>
      </c>
      <c r="T21" s="180">
        <v>9</v>
      </c>
      <c r="U21" s="135">
        <v>5400</v>
      </c>
    </row>
    <row r="22" spans="1:21" ht="18.75" thickBot="1">
      <c r="L22" s="23" t="s">
        <v>63</v>
      </c>
      <c r="M22" s="16" t="s">
        <v>70</v>
      </c>
      <c r="N22" s="17" t="s">
        <v>58</v>
      </c>
      <c r="O22" s="22" t="s">
        <v>67</v>
      </c>
      <c r="P22" s="192" t="s">
        <v>64</v>
      </c>
      <c r="Q22" s="193"/>
      <c r="R22" s="194"/>
      <c r="S22" s="175">
        <v>0.22222</v>
      </c>
      <c r="T22" s="179">
        <v>1500</v>
      </c>
      <c r="U22" s="177">
        <v>1000</v>
      </c>
    </row>
    <row r="23" spans="1:21" ht="18.75" thickBot="1">
      <c r="A23" s="1"/>
      <c r="L23" s="26" t="s">
        <v>64</v>
      </c>
      <c r="M23" s="27"/>
      <c r="N23" s="18"/>
      <c r="P23" s="202" t="s">
        <v>63</v>
      </c>
      <c r="Q23" s="189" t="s">
        <v>70</v>
      </c>
      <c r="R23" s="198" t="s">
        <v>51</v>
      </c>
      <c r="S23" s="184">
        <v>264</v>
      </c>
      <c r="T23" s="180">
        <v>9</v>
      </c>
      <c r="U23" s="135">
        <v>2376</v>
      </c>
    </row>
    <row r="24" spans="1:21" ht="18.75" thickBot="1">
      <c r="L24" s="24" t="s">
        <v>63</v>
      </c>
      <c r="M24" s="16" t="s">
        <v>70</v>
      </c>
      <c r="N24" s="17" t="s">
        <v>51</v>
      </c>
      <c r="P24" s="192" t="s">
        <v>64</v>
      </c>
      <c r="Q24" s="193"/>
      <c r="R24" s="194"/>
      <c r="S24" s="176">
        <v>0.22222</v>
      </c>
      <c r="T24" s="179">
        <v>1500</v>
      </c>
      <c r="U24" s="177">
        <v>1000</v>
      </c>
    </row>
    <row r="25" spans="1:21" ht="18.75" thickBot="1">
      <c r="L25" s="26" t="s">
        <v>64</v>
      </c>
      <c r="M25" s="27"/>
      <c r="N25" s="18"/>
    </row>
  </sheetData>
  <mergeCells count="4">
    <mergeCell ref="A1:G1"/>
    <mergeCell ref="P11:R12"/>
    <mergeCell ref="L2:O2"/>
    <mergeCell ref="L13:N13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65F63CA-2796-433F-B278-A2EA7379FE4A}">
          <x14:formula1>
            <xm:f>data!$B$2:$B$3</xm:f>
          </x14:formula1>
          <xm:sqref>C3:C12 M3:M8</xm:sqref>
        </x14:dataValidation>
        <x14:dataValidation type="list" allowBlank="1" showInputMessage="1" showErrorMessage="1" xr:uid="{917FAE76-8DBF-4337-A384-1D138D9D784D}">
          <x14:formula1>
            <xm:f>data!$A$2:$A$4</xm:f>
          </x14:formula1>
          <xm:sqref>D3:D12 N3:N8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8A66-11F6-43BF-8E6C-638632AD9F32}">
  <dimension ref="A1:C32"/>
  <sheetViews>
    <sheetView workbookViewId="0">
      <selection activeCell="B19" sqref="B19"/>
    </sheetView>
  </sheetViews>
  <sheetFormatPr defaultRowHeight="15"/>
  <cols>
    <col min="1" max="1" width="12.140625" customWidth="1"/>
    <col min="2" max="2" width="15.42578125" customWidth="1"/>
    <col min="3" max="3" width="23.42578125" customWidth="1"/>
  </cols>
  <sheetData>
    <row r="1" spans="1:3" ht="18">
      <c r="A1" s="6" t="s">
        <v>6</v>
      </c>
      <c r="B1" s="7" t="s">
        <v>14</v>
      </c>
      <c r="C1" s="8" t="s">
        <v>15</v>
      </c>
    </row>
    <row r="2" spans="1:3" ht="18">
      <c r="A2" s="1" t="s">
        <v>9</v>
      </c>
      <c r="B2" s="1">
        <v>1.25</v>
      </c>
      <c r="C2" s="9" t="s">
        <v>16</v>
      </c>
    </row>
    <row r="3" spans="1:3" ht="18">
      <c r="A3" s="1" t="s">
        <v>17</v>
      </c>
      <c r="B3" s="1">
        <v>1.65</v>
      </c>
      <c r="C3" s="9" t="s">
        <v>18</v>
      </c>
    </row>
    <row r="4" spans="1:3" ht="18">
      <c r="A4" s="1" t="s">
        <v>19</v>
      </c>
      <c r="B4" s="1"/>
      <c r="C4" s="9" t="s">
        <v>20</v>
      </c>
    </row>
    <row r="5" spans="1:3" ht="18">
      <c r="A5" s="1"/>
      <c r="B5" s="1"/>
      <c r="C5" s="9" t="s">
        <v>8</v>
      </c>
    </row>
    <row r="6" spans="1:3" ht="18">
      <c r="A6" s="1"/>
      <c r="B6" s="1"/>
      <c r="C6" s="9" t="s">
        <v>21</v>
      </c>
    </row>
    <row r="7" spans="1:3" ht="18">
      <c r="A7" s="1"/>
      <c r="B7" s="1"/>
      <c r="C7" s="9" t="s">
        <v>22</v>
      </c>
    </row>
    <row r="8" spans="1:3" ht="18">
      <c r="A8" s="1"/>
      <c r="B8" s="1"/>
      <c r="C8" s="9" t="s">
        <v>23</v>
      </c>
    </row>
    <row r="9" spans="1:3" ht="18">
      <c r="A9" s="1"/>
      <c r="B9" s="1"/>
      <c r="C9" s="9" t="s">
        <v>11</v>
      </c>
    </row>
    <row r="10" spans="1:3" ht="18">
      <c r="A10" s="1"/>
      <c r="B10" s="1"/>
      <c r="C10" s="9" t="s">
        <v>24</v>
      </c>
    </row>
    <row r="11" spans="1:3" ht="18">
      <c r="A11" s="1"/>
      <c r="B11" s="1"/>
      <c r="C11" s="9" t="s">
        <v>25</v>
      </c>
    </row>
    <row r="12" spans="1:3" ht="18">
      <c r="A12" s="1"/>
      <c r="B12" s="1"/>
      <c r="C12" s="9" t="s">
        <v>26</v>
      </c>
    </row>
    <row r="13" spans="1:3" ht="18">
      <c r="A13" s="1"/>
      <c r="B13" s="1"/>
      <c r="C13" s="9" t="s">
        <v>27</v>
      </c>
    </row>
    <row r="14" spans="1:3" ht="18">
      <c r="A14" s="1"/>
      <c r="B14" s="1"/>
      <c r="C14" s="9" t="s">
        <v>28</v>
      </c>
    </row>
    <row r="15" spans="1:3" ht="18">
      <c r="A15" s="1"/>
      <c r="B15" s="1"/>
      <c r="C15" s="9" t="s">
        <v>29</v>
      </c>
    </row>
    <row r="16" spans="1:3" ht="18">
      <c r="A16" s="1"/>
      <c r="B16" s="1"/>
      <c r="C16" s="9" t="s">
        <v>30</v>
      </c>
    </row>
    <row r="17" spans="1:3" ht="18">
      <c r="A17" s="1"/>
      <c r="B17" s="1"/>
      <c r="C17" s="9" t="s">
        <v>31</v>
      </c>
    </row>
    <row r="18" spans="1:3" ht="18">
      <c r="A18" s="1"/>
      <c r="B18" s="1"/>
      <c r="C18" s="9" t="s">
        <v>32</v>
      </c>
    </row>
    <row r="19" spans="1:3" ht="18">
      <c r="A19" s="1"/>
      <c r="B19" s="1"/>
      <c r="C19" s="9" t="s">
        <v>33</v>
      </c>
    </row>
    <row r="20" spans="1:3" ht="18">
      <c r="A20" s="1"/>
      <c r="B20" s="1"/>
      <c r="C20" s="9" t="s">
        <v>34</v>
      </c>
    </row>
    <row r="21" spans="1:3" ht="18">
      <c r="A21" s="1"/>
      <c r="B21" s="1"/>
      <c r="C21" s="9" t="s">
        <v>35</v>
      </c>
    </row>
    <row r="22" spans="1:3" ht="18">
      <c r="A22" s="1"/>
      <c r="B22" s="1"/>
      <c r="C22" s="9" t="s">
        <v>36</v>
      </c>
    </row>
    <row r="23" spans="1:3" ht="18">
      <c r="A23" s="1"/>
      <c r="B23" s="1"/>
      <c r="C23" s="9" t="s">
        <v>37</v>
      </c>
    </row>
    <row r="24" spans="1:3" ht="18">
      <c r="A24" s="1"/>
      <c r="B24" s="1"/>
      <c r="C24" s="9" t="s">
        <v>12</v>
      </c>
    </row>
    <row r="25" spans="1:3" ht="18">
      <c r="A25" s="1"/>
      <c r="B25" s="1"/>
      <c r="C25" s="9" t="s">
        <v>38</v>
      </c>
    </row>
    <row r="26" spans="1:3" ht="18">
      <c r="A26" s="1"/>
      <c r="B26" s="1"/>
      <c r="C26" s="9" t="s">
        <v>39</v>
      </c>
    </row>
    <row r="27" spans="1:3" ht="18">
      <c r="A27" s="1"/>
      <c r="B27" s="1"/>
      <c r="C27" s="9" t="s">
        <v>40</v>
      </c>
    </row>
    <row r="28" spans="1:3" ht="18">
      <c r="A28" s="1"/>
      <c r="B28" s="1"/>
      <c r="C28" s="9" t="s">
        <v>41</v>
      </c>
    </row>
    <row r="29" spans="1:3" ht="18">
      <c r="A29" s="1"/>
      <c r="B29" s="1"/>
      <c r="C29" s="9" t="s">
        <v>42</v>
      </c>
    </row>
    <row r="30" spans="1:3" ht="18">
      <c r="A30" s="1"/>
      <c r="B30" s="1"/>
      <c r="C30" s="9" t="s">
        <v>43</v>
      </c>
    </row>
    <row r="31" spans="1:3" ht="18">
      <c r="A31" s="1"/>
      <c r="B31" s="1"/>
      <c r="C31" s="9" t="s">
        <v>44</v>
      </c>
    </row>
    <row r="32" spans="1:3" ht="18">
      <c r="A32" s="1"/>
      <c r="B32" s="1"/>
      <c r="C32" s="9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379D-9D28-4AA1-8639-BD4CDFA66005}">
  <dimension ref="A1:AC131"/>
  <sheetViews>
    <sheetView zoomScale="78" zoomScaleNormal="78" workbookViewId="0">
      <pane ySplit="2" topLeftCell="A3" activePane="bottomLeft" state="frozen"/>
      <selection pane="bottomLeft" activeCell="M136" sqref="M136"/>
    </sheetView>
  </sheetViews>
  <sheetFormatPr defaultRowHeight="15"/>
  <cols>
    <col min="15" max="15" width="1.5703125" customWidth="1"/>
  </cols>
  <sheetData>
    <row r="1" spans="1:29" ht="14.45" customHeight="1">
      <c r="A1" s="234" t="s">
        <v>112</v>
      </c>
      <c r="B1" s="234"/>
      <c r="C1" s="234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35" t="s">
        <v>113</v>
      </c>
      <c r="P1" s="235"/>
      <c r="Q1" s="235"/>
      <c r="R1" s="23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</row>
    <row r="2" spans="1:29" ht="14.45" customHeight="1">
      <c r="A2" s="234"/>
      <c r="B2" s="234"/>
      <c r="C2" s="234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35"/>
      <c r="P2" s="235"/>
      <c r="Q2" s="235"/>
      <c r="R2" s="23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</row>
    <row r="3" spans="1:29">
      <c r="A3" s="203"/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</row>
    <row r="4" spans="1:29">
      <c r="A4" s="203"/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</row>
    <row r="5" spans="1:29">
      <c r="A5" s="203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</row>
    <row r="6" spans="1:29">
      <c r="A6" s="203"/>
      <c r="B6" s="203"/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04"/>
      <c r="AA6" s="204"/>
      <c r="AB6" s="204"/>
      <c r="AC6" s="204"/>
    </row>
    <row r="7" spans="1:29">
      <c r="A7" s="203"/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204"/>
    </row>
    <row r="8" spans="1:29">
      <c r="A8" s="203"/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</row>
    <row r="9" spans="1:29">
      <c r="A9" s="203"/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  <c r="AA9" s="204"/>
      <c r="AB9" s="204"/>
      <c r="AC9" s="204"/>
    </row>
    <row r="10" spans="1:29">
      <c r="A10" s="203"/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</row>
    <row r="11" spans="1:29">
      <c r="A11" s="203"/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  <c r="AA11" s="204"/>
      <c r="AB11" s="204"/>
      <c r="AC11" s="204"/>
    </row>
    <row r="12" spans="1:29">
      <c r="A12" s="203"/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  <c r="AA12" s="204"/>
      <c r="AB12" s="204"/>
      <c r="AC12" s="204"/>
    </row>
    <row r="13" spans="1:29">
      <c r="A13" s="203"/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  <c r="AB13" s="204"/>
      <c r="AC13" s="204"/>
    </row>
    <row r="14" spans="1:29">
      <c r="A14" s="203"/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  <c r="AA14" s="204"/>
      <c r="AB14" s="204"/>
      <c r="AC14" s="204"/>
    </row>
    <row r="15" spans="1:29">
      <c r="A15" s="203"/>
      <c r="B15" s="203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  <c r="AA15" s="204"/>
      <c r="AB15" s="204"/>
      <c r="AC15" s="204"/>
    </row>
    <row r="16" spans="1:29">
      <c r="A16" s="203"/>
      <c r="B16" s="203"/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  <c r="AA16" s="204"/>
      <c r="AB16" s="204"/>
      <c r="AC16" s="204"/>
    </row>
    <row r="17" spans="1:29">
      <c r="A17" s="203"/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</row>
    <row r="18" spans="1:29">
      <c r="A18" s="203"/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  <c r="Z18" s="204"/>
      <c r="AA18" s="204"/>
      <c r="AB18" s="204"/>
      <c r="AC18" s="204"/>
    </row>
    <row r="19" spans="1:29">
      <c r="A19" s="203"/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  <c r="AA19" s="204"/>
      <c r="AB19" s="204"/>
      <c r="AC19" s="204"/>
    </row>
    <row r="20" spans="1:29">
      <c r="A20" s="203"/>
      <c r="B20" s="203"/>
      <c r="C20" s="203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  <c r="Z20" s="204"/>
      <c r="AA20" s="204"/>
      <c r="AB20" s="204"/>
      <c r="AC20" s="204"/>
    </row>
    <row r="21" spans="1:29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4"/>
      <c r="P21" s="204"/>
      <c r="Q21" s="204"/>
      <c r="R21" s="204"/>
      <c r="S21" s="204"/>
      <c r="T21" s="204"/>
      <c r="U21" s="204"/>
      <c r="V21" s="204"/>
      <c r="W21" s="204"/>
      <c r="X21" s="204"/>
      <c r="Y21" s="204"/>
      <c r="Z21" s="204"/>
      <c r="AA21" s="204"/>
      <c r="AB21" s="204"/>
      <c r="AC21" s="204"/>
    </row>
    <row r="22" spans="1:29">
      <c r="A22" s="203"/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</row>
    <row r="23" spans="1:29">
      <c r="A23" s="203"/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</row>
    <row r="24" spans="1:29">
      <c r="A24" s="203"/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</row>
    <row r="25" spans="1:29">
      <c r="A25" s="203"/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</row>
    <row r="26" spans="1:29">
      <c r="A26" s="203"/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</row>
    <row r="27" spans="1:29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</row>
    <row r="28" spans="1:29">
      <c r="A28" s="203"/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</row>
    <row r="29" spans="1:29">
      <c r="A29" s="203"/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</row>
    <row r="30" spans="1:29">
      <c r="A30" s="203"/>
      <c r="B30" s="203"/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4"/>
      <c r="P30" s="204"/>
      <c r="Q30" s="204"/>
      <c r="R30" s="204"/>
      <c r="S30" s="204"/>
      <c r="T30" s="204"/>
      <c r="U30" s="204"/>
      <c r="V30" s="204"/>
      <c r="W30" s="204"/>
      <c r="X30" s="204"/>
      <c r="Y30" s="204"/>
      <c r="Z30" s="204"/>
      <c r="AA30" s="204"/>
      <c r="AB30" s="204"/>
      <c r="AC30" s="204"/>
    </row>
    <row r="31" spans="1:29">
      <c r="A31" s="203"/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4"/>
      <c r="P31" s="204"/>
      <c r="Q31" s="204"/>
      <c r="R31" s="204"/>
      <c r="S31" s="204"/>
      <c r="T31" s="204"/>
      <c r="U31" s="204"/>
      <c r="V31" s="204"/>
      <c r="W31" s="204"/>
      <c r="X31" s="204"/>
      <c r="Y31" s="204"/>
      <c r="Z31" s="204"/>
      <c r="AA31" s="204"/>
      <c r="AB31" s="204"/>
      <c r="AC31" s="204"/>
    </row>
    <row r="32" spans="1:29">
      <c r="A32" s="203"/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</row>
    <row r="33" spans="1:29">
      <c r="A33" s="203"/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  <c r="AA33" s="204"/>
      <c r="AB33" s="204"/>
      <c r="AC33" s="204"/>
    </row>
    <row r="34" spans="1:29">
      <c r="A34" s="203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4"/>
      <c r="Z34" s="204"/>
      <c r="AA34" s="204"/>
      <c r="AB34" s="204"/>
      <c r="AC34" s="204"/>
    </row>
    <row r="35" spans="1:29">
      <c r="A35" s="203"/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4"/>
      <c r="P35" s="204"/>
      <c r="Q35" s="204"/>
      <c r="R35" s="204"/>
      <c r="S35" s="204"/>
      <c r="T35" s="204"/>
      <c r="U35" s="204"/>
      <c r="V35" s="204"/>
      <c r="W35" s="204"/>
      <c r="X35" s="204"/>
      <c r="Y35" s="204"/>
      <c r="Z35" s="204"/>
      <c r="AA35" s="204"/>
      <c r="AB35" s="204"/>
      <c r="AC35" s="204"/>
    </row>
    <row r="36" spans="1:29">
      <c r="A36" s="203"/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4"/>
      <c r="Z36" s="204"/>
      <c r="AA36" s="204"/>
      <c r="AB36" s="204"/>
      <c r="AC36" s="204"/>
    </row>
    <row r="37" spans="1:29">
      <c r="A37" s="203"/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  <c r="Z37" s="204"/>
      <c r="AA37" s="204"/>
      <c r="AB37" s="204"/>
      <c r="AC37" s="204"/>
    </row>
    <row r="38" spans="1:29">
      <c r="A38" s="203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4"/>
      <c r="Z38" s="204"/>
      <c r="AA38" s="204"/>
      <c r="AB38" s="204"/>
      <c r="AC38" s="204"/>
    </row>
    <row r="39" spans="1:29">
      <c r="A39" s="203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4"/>
      <c r="Z39" s="204"/>
      <c r="AA39" s="204"/>
      <c r="AB39" s="204"/>
      <c r="AC39" s="204"/>
    </row>
    <row r="40" spans="1:29">
      <c r="A40" s="203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4"/>
      <c r="P40" s="204"/>
      <c r="Q40" s="204"/>
      <c r="R40" s="204"/>
      <c r="S40" s="204"/>
      <c r="T40" s="204"/>
      <c r="U40" s="204"/>
      <c r="V40" s="204"/>
      <c r="W40" s="204"/>
      <c r="X40" s="204"/>
      <c r="Y40" s="204"/>
      <c r="Z40" s="204"/>
      <c r="AA40" s="204"/>
      <c r="AB40" s="204"/>
      <c r="AC40" s="204"/>
    </row>
    <row r="41" spans="1:29">
      <c r="A41" s="203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204"/>
      <c r="Z41" s="204"/>
      <c r="AA41" s="204"/>
      <c r="AB41" s="204"/>
      <c r="AC41" s="204"/>
    </row>
    <row r="42" spans="1:29">
      <c r="A42" s="203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4"/>
      <c r="P42" s="204"/>
      <c r="Q42" s="204"/>
      <c r="R42" s="204"/>
      <c r="S42" s="204"/>
      <c r="T42" s="204"/>
      <c r="U42" s="204"/>
      <c r="V42" s="204"/>
      <c r="W42" s="204"/>
      <c r="X42" s="204"/>
      <c r="Y42" s="204"/>
      <c r="Z42" s="204"/>
      <c r="AA42" s="204"/>
      <c r="AB42" s="204"/>
      <c r="AC42" s="204"/>
    </row>
    <row r="43" spans="1:29">
      <c r="A43" s="203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4"/>
      <c r="Z43" s="204"/>
      <c r="AA43" s="204"/>
      <c r="AB43" s="204"/>
      <c r="AC43" s="204"/>
    </row>
    <row r="44" spans="1:29">
      <c r="A44" s="203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4"/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4"/>
      <c r="AA44" s="204"/>
      <c r="AB44" s="204"/>
      <c r="AC44" s="204"/>
    </row>
    <row r="45" spans="1:29">
      <c r="A45" s="203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</row>
    <row r="46" spans="1:29">
      <c r="A46" s="203"/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4"/>
      <c r="P46" s="204"/>
      <c r="Q46" s="204"/>
      <c r="R46" s="204"/>
      <c r="S46" s="204"/>
      <c r="T46" s="204"/>
      <c r="U46" s="204"/>
      <c r="V46" s="204"/>
      <c r="W46" s="204"/>
      <c r="X46" s="204"/>
      <c r="Y46" s="204"/>
      <c r="Z46" s="204"/>
      <c r="AA46" s="204"/>
      <c r="AB46" s="204"/>
      <c r="AC46" s="204"/>
    </row>
    <row r="47" spans="1:29">
      <c r="A47" s="203"/>
      <c r="B47" s="203"/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4"/>
      <c r="P47" s="204"/>
      <c r="Q47" s="204"/>
      <c r="R47" s="204"/>
      <c r="S47" s="204"/>
      <c r="T47" s="204"/>
      <c r="U47" s="204"/>
      <c r="V47" s="204"/>
      <c r="W47" s="204"/>
      <c r="X47" s="204"/>
      <c r="Y47" s="204"/>
      <c r="Z47" s="204"/>
      <c r="AA47" s="204"/>
      <c r="AB47" s="204"/>
      <c r="AC47" s="204"/>
    </row>
    <row r="48" spans="1:29">
      <c r="A48" s="203"/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4"/>
      <c r="P48" s="204"/>
      <c r="Q48" s="204"/>
      <c r="R48" s="204"/>
      <c r="S48" s="204"/>
      <c r="T48" s="204"/>
      <c r="U48" s="204"/>
      <c r="V48" s="204"/>
      <c r="W48" s="204"/>
      <c r="X48" s="204"/>
      <c r="Y48" s="204"/>
      <c r="Z48" s="204"/>
      <c r="AA48" s="204"/>
      <c r="AB48" s="204"/>
      <c r="AC48" s="204"/>
    </row>
    <row r="49" spans="1:29">
      <c r="A49" s="203"/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4"/>
      <c r="P49" s="204"/>
      <c r="Q49" s="204"/>
      <c r="R49" s="204"/>
      <c r="S49" s="204"/>
      <c r="T49" s="204"/>
      <c r="U49" s="204"/>
      <c r="V49" s="204"/>
      <c r="W49" s="204"/>
      <c r="X49" s="204"/>
      <c r="Y49" s="204"/>
      <c r="Z49" s="204"/>
      <c r="AA49" s="204"/>
      <c r="AB49" s="204"/>
      <c r="AC49" s="204"/>
    </row>
    <row r="50" spans="1:29">
      <c r="A50" s="203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204"/>
      <c r="Z50" s="204"/>
      <c r="AA50" s="204"/>
      <c r="AB50" s="204"/>
      <c r="AC50" s="204"/>
    </row>
    <row r="51" spans="1:29">
      <c r="A51" s="203"/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4"/>
      <c r="P51" s="204"/>
      <c r="Q51" s="204"/>
      <c r="R51" s="204"/>
      <c r="S51" s="204"/>
      <c r="T51" s="204"/>
      <c r="U51" s="204"/>
      <c r="V51" s="204"/>
      <c r="W51" s="204"/>
      <c r="X51" s="204"/>
      <c r="Y51" s="204"/>
      <c r="Z51" s="204"/>
      <c r="AA51" s="204"/>
      <c r="AB51" s="204"/>
      <c r="AC51" s="204"/>
    </row>
    <row r="52" spans="1:29">
      <c r="A52" s="203"/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4"/>
      <c r="P52" s="204"/>
      <c r="Q52" s="204"/>
      <c r="R52" s="204"/>
      <c r="S52" s="204"/>
      <c r="T52" s="204"/>
      <c r="U52" s="204"/>
      <c r="V52" s="204"/>
      <c r="W52" s="204"/>
      <c r="X52" s="204"/>
      <c r="Y52" s="204"/>
      <c r="Z52" s="204"/>
      <c r="AA52" s="204"/>
      <c r="AB52" s="204"/>
      <c r="AC52" s="204"/>
    </row>
    <row r="53" spans="1:29">
      <c r="A53" s="203"/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  <c r="AA53" s="204"/>
      <c r="AB53" s="204"/>
      <c r="AC53" s="204"/>
    </row>
    <row r="54" spans="1:29">
      <c r="A54" s="203"/>
      <c r="B54" s="203"/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4"/>
      <c r="AB54" s="204"/>
      <c r="AC54" s="204"/>
    </row>
    <row r="55" spans="1:29">
      <c r="A55" s="203"/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  <c r="AA55" s="204"/>
      <c r="AB55" s="204"/>
      <c r="AC55" s="204"/>
    </row>
    <row r="56" spans="1:29">
      <c r="A56" s="203"/>
      <c r="B56" s="203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4"/>
      <c r="AB56" s="204"/>
      <c r="AC56" s="204"/>
    </row>
    <row r="57" spans="1:29">
      <c r="A57" s="203"/>
      <c r="B57" s="203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  <c r="AA57" s="204"/>
      <c r="AB57" s="204"/>
      <c r="AC57" s="204"/>
    </row>
    <row r="58" spans="1:29">
      <c r="A58" s="203"/>
      <c r="B58" s="203"/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  <c r="AA58" s="204"/>
      <c r="AB58" s="204"/>
      <c r="AC58" s="204"/>
    </row>
    <row r="59" spans="1:29">
      <c r="A59" s="203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  <c r="AA59" s="204"/>
      <c r="AB59" s="204"/>
      <c r="AC59" s="204"/>
    </row>
    <row r="60" spans="1:29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4"/>
      <c r="P60" s="204"/>
      <c r="Q60" s="204"/>
      <c r="R60" s="204"/>
      <c r="S60" s="204"/>
      <c r="T60" s="204"/>
      <c r="U60" s="204"/>
      <c r="V60" s="204"/>
      <c r="W60" s="204"/>
      <c r="X60" s="204"/>
      <c r="Y60" s="204"/>
      <c r="Z60" s="204"/>
      <c r="AA60" s="204"/>
      <c r="AB60" s="204"/>
      <c r="AC60" s="204"/>
    </row>
    <row r="61" spans="1:29">
      <c r="A61" s="203"/>
      <c r="B61" s="203"/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4"/>
      <c r="P61" s="204"/>
      <c r="Q61" s="204"/>
      <c r="R61" s="204"/>
      <c r="S61" s="204"/>
      <c r="T61" s="204"/>
      <c r="U61" s="204"/>
      <c r="V61" s="204"/>
      <c r="W61" s="204"/>
      <c r="X61" s="204"/>
      <c r="Y61" s="204"/>
      <c r="Z61" s="204"/>
      <c r="AA61" s="204"/>
      <c r="AB61" s="204"/>
      <c r="AC61" s="204"/>
    </row>
    <row r="62" spans="1:29">
      <c r="A62" s="203"/>
      <c r="B62" s="203"/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4"/>
      <c r="AB62" s="204"/>
      <c r="AC62" s="204"/>
    </row>
    <row r="63" spans="1:29">
      <c r="A63" s="203"/>
      <c r="B63" s="203"/>
      <c r="C63" s="203"/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  <c r="AA63" s="204"/>
      <c r="AB63" s="204"/>
      <c r="AC63" s="204"/>
    </row>
    <row r="64" spans="1:29">
      <c r="A64" s="203"/>
      <c r="B64" s="203"/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  <c r="AA64" s="204"/>
      <c r="AB64" s="204"/>
      <c r="AC64" s="204"/>
    </row>
    <row r="65" spans="1:29">
      <c r="A65" s="203"/>
      <c r="B65" s="203"/>
      <c r="C65" s="203"/>
      <c r="D65" s="203"/>
      <c r="E65" s="203"/>
      <c r="F65" s="203"/>
      <c r="G65" s="203"/>
      <c r="H65" s="203"/>
      <c r="I65" s="203"/>
      <c r="J65" s="203"/>
      <c r="K65" s="203"/>
      <c r="L65" s="203"/>
      <c r="M65" s="203"/>
      <c r="N65" s="203"/>
      <c r="O65" s="204"/>
      <c r="P65" s="204"/>
      <c r="Q65" s="204"/>
      <c r="R65" s="204"/>
      <c r="S65" s="204"/>
      <c r="T65" s="204"/>
      <c r="U65" s="204"/>
      <c r="V65" s="204"/>
      <c r="W65" s="204"/>
      <c r="X65" s="204"/>
      <c r="Y65" s="204"/>
      <c r="Z65" s="204"/>
      <c r="AA65" s="204"/>
      <c r="AB65" s="204"/>
      <c r="AC65" s="204"/>
    </row>
    <row r="66" spans="1:29">
      <c r="A66" s="203"/>
      <c r="B66" s="203"/>
      <c r="C66" s="203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  <c r="AA66" s="204"/>
      <c r="AB66" s="204"/>
      <c r="AC66" s="204"/>
    </row>
    <row r="67" spans="1:29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4"/>
      <c r="P67" s="204"/>
      <c r="Q67" s="204"/>
      <c r="R67" s="204"/>
      <c r="S67" s="204"/>
      <c r="T67" s="204"/>
      <c r="U67" s="204"/>
      <c r="V67" s="204"/>
      <c r="W67" s="204"/>
      <c r="X67" s="204"/>
      <c r="Y67" s="204"/>
      <c r="Z67" s="204"/>
      <c r="AA67" s="204"/>
      <c r="AB67" s="204"/>
      <c r="AC67" s="204"/>
    </row>
    <row r="68" spans="1:29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  <c r="AA68" s="204"/>
      <c r="AB68" s="204"/>
      <c r="AC68" s="204"/>
    </row>
    <row r="69" spans="1:29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  <c r="AA69" s="204"/>
      <c r="AB69" s="204"/>
      <c r="AC69" s="204"/>
    </row>
    <row r="70" spans="1:29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4"/>
      <c r="Z70" s="204"/>
      <c r="AA70" s="204"/>
      <c r="AB70" s="204"/>
      <c r="AC70" s="204"/>
    </row>
    <row r="71" spans="1:29">
      <c r="A71" s="203"/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  <c r="Z71" s="204"/>
      <c r="AA71" s="204"/>
      <c r="AB71" s="204"/>
      <c r="AC71" s="204"/>
    </row>
    <row r="72" spans="1:29">
      <c r="A72" s="203"/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  <c r="AA72" s="204"/>
      <c r="AB72" s="204"/>
      <c r="AC72" s="204"/>
    </row>
    <row r="73" spans="1:29">
      <c r="A73" s="203"/>
      <c r="B73" s="203"/>
      <c r="C73" s="203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203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  <c r="Z73" s="204"/>
      <c r="AA73" s="204"/>
      <c r="AB73" s="204"/>
      <c r="AC73" s="204"/>
    </row>
    <row r="74" spans="1:29">
      <c r="A74" s="203"/>
      <c r="B74" s="203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  <c r="AA74" s="204"/>
      <c r="AB74" s="204"/>
      <c r="AC74" s="204"/>
    </row>
    <row r="75" spans="1:29">
      <c r="A75" s="203"/>
      <c r="B75" s="203"/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  <c r="Z75" s="204"/>
      <c r="AA75" s="204"/>
      <c r="AB75" s="204"/>
      <c r="AC75" s="204"/>
    </row>
    <row r="76" spans="1:29">
      <c r="A76" s="203"/>
      <c r="B76" s="203"/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4"/>
      <c r="P76" s="204"/>
      <c r="Q76" s="204"/>
      <c r="R76" s="204"/>
      <c r="S76" s="204"/>
      <c r="T76" s="204"/>
      <c r="U76" s="204"/>
      <c r="V76" s="204"/>
      <c r="W76" s="204"/>
      <c r="X76" s="204"/>
      <c r="Y76" s="204"/>
      <c r="Z76" s="204"/>
      <c r="AA76" s="204"/>
      <c r="AB76" s="204"/>
      <c r="AC76" s="204"/>
    </row>
    <row r="77" spans="1:29">
      <c r="A77" s="203"/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4"/>
      <c r="AC77" s="204"/>
    </row>
    <row r="78" spans="1:29">
      <c r="A78" s="203"/>
      <c r="B78" s="203"/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</row>
    <row r="79" spans="1:29">
      <c r="A79" s="203"/>
      <c r="B79" s="203"/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</row>
    <row r="80" spans="1:29">
      <c r="A80" s="203"/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  <c r="AA80" s="204"/>
      <c r="AB80" s="204"/>
      <c r="AC80" s="204"/>
    </row>
    <row r="81" spans="1:29">
      <c r="A81" s="203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  <c r="AA81" s="204"/>
      <c r="AB81" s="204"/>
      <c r="AC81" s="204"/>
    </row>
    <row r="82" spans="1:29">
      <c r="A82" s="203"/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  <c r="AA82" s="204"/>
      <c r="AB82" s="204"/>
      <c r="AC82" s="204"/>
    </row>
    <row r="83" spans="1:29">
      <c r="A83" s="203"/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4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  <c r="AA83" s="204"/>
      <c r="AB83" s="204"/>
      <c r="AC83" s="204"/>
    </row>
    <row r="84" spans="1:29">
      <c r="A84" s="203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  <c r="AA84" s="204"/>
      <c r="AB84" s="204"/>
      <c r="AC84" s="204"/>
    </row>
    <row r="85" spans="1:29">
      <c r="A85" s="203"/>
      <c r="B85" s="203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4"/>
      <c r="P85" s="204"/>
      <c r="Q85" s="204"/>
      <c r="R85" s="204"/>
      <c r="S85" s="204"/>
      <c r="T85" s="204"/>
      <c r="U85" s="204"/>
      <c r="V85" s="204"/>
      <c r="W85" s="204"/>
      <c r="X85" s="204"/>
      <c r="Y85" s="204"/>
      <c r="Z85" s="204"/>
      <c r="AA85" s="204"/>
      <c r="AB85" s="204"/>
      <c r="AC85" s="204"/>
    </row>
    <row r="86" spans="1:29">
      <c r="A86" s="203"/>
      <c r="B86" s="203"/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4"/>
      <c r="P86" s="204"/>
      <c r="Q86" s="204"/>
      <c r="R86" s="204"/>
      <c r="S86" s="204"/>
      <c r="T86" s="204"/>
      <c r="U86" s="204"/>
      <c r="V86" s="204"/>
      <c r="W86" s="204"/>
      <c r="X86" s="204"/>
      <c r="Y86" s="204"/>
      <c r="Z86" s="204"/>
      <c r="AA86" s="204"/>
      <c r="AB86" s="204"/>
      <c r="AC86" s="204"/>
    </row>
    <row r="87" spans="1:29">
      <c r="A87" s="203"/>
      <c r="B87" s="203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4"/>
      <c r="P87" s="204"/>
      <c r="Q87" s="204"/>
      <c r="R87" s="204"/>
      <c r="S87" s="204"/>
      <c r="T87" s="204"/>
      <c r="U87" s="204"/>
      <c r="V87" s="204"/>
      <c r="W87" s="204"/>
      <c r="X87" s="204"/>
      <c r="Y87" s="204"/>
      <c r="Z87" s="204"/>
      <c r="AA87" s="204"/>
      <c r="AB87" s="204"/>
      <c r="AC87" s="204"/>
    </row>
    <row r="88" spans="1:29">
      <c r="A88" s="203"/>
      <c r="B88" s="203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4"/>
      <c r="P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  <c r="AA88" s="204"/>
      <c r="AB88" s="204"/>
      <c r="AC88" s="204"/>
    </row>
    <row r="89" spans="1:29">
      <c r="A89" s="203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4"/>
      <c r="P89" s="204"/>
      <c r="Q89" s="204"/>
      <c r="R89" s="204"/>
      <c r="S89" s="204"/>
      <c r="T89" s="204"/>
      <c r="U89" s="204"/>
      <c r="V89" s="204"/>
      <c r="W89" s="204"/>
      <c r="X89" s="204"/>
      <c r="Y89" s="204"/>
      <c r="Z89" s="204"/>
      <c r="AA89" s="204"/>
      <c r="AB89" s="204"/>
      <c r="AC89" s="204"/>
    </row>
    <row r="90" spans="1:29">
      <c r="A90" s="203"/>
      <c r="B90" s="203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4"/>
      <c r="P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  <c r="AA90" s="204"/>
      <c r="AB90" s="204"/>
      <c r="AC90" s="204"/>
    </row>
    <row r="91" spans="1:29">
      <c r="A91" s="203"/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  <c r="AA91" s="204"/>
      <c r="AB91" s="204"/>
      <c r="AC91" s="204"/>
    </row>
    <row r="92" spans="1:29">
      <c r="A92" s="203"/>
      <c r="B92" s="203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  <c r="AA92" s="204"/>
      <c r="AB92" s="204"/>
      <c r="AC92" s="204"/>
    </row>
    <row r="93" spans="1:29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4"/>
      <c r="P93" s="204"/>
      <c r="Q93" s="204"/>
      <c r="R93" s="204"/>
      <c r="S93" s="204"/>
      <c r="T93" s="204"/>
      <c r="U93" s="204"/>
      <c r="V93" s="204"/>
      <c r="W93" s="204"/>
      <c r="X93" s="204"/>
      <c r="Y93" s="204"/>
      <c r="Z93" s="204"/>
      <c r="AA93" s="204"/>
      <c r="AB93" s="204"/>
      <c r="AC93" s="204"/>
    </row>
    <row r="94" spans="1:29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04"/>
      <c r="P94" s="204"/>
      <c r="Q94" s="204"/>
      <c r="R94" s="204"/>
      <c r="S94" s="204"/>
      <c r="T94" s="204"/>
      <c r="U94" s="204"/>
      <c r="V94" s="204"/>
      <c r="W94" s="204"/>
      <c r="X94" s="204"/>
      <c r="Y94" s="204"/>
      <c r="Z94" s="204"/>
      <c r="AA94" s="204"/>
      <c r="AB94" s="204"/>
      <c r="AC94" s="204"/>
    </row>
    <row r="95" spans="1:29">
      <c r="A95" s="203"/>
      <c r="B95" s="203"/>
      <c r="C95" s="203"/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  <c r="AA95" s="204"/>
      <c r="AB95" s="204"/>
      <c r="AC95" s="204"/>
    </row>
    <row r="96" spans="1:29">
      <c r="A96" s="203"/>
      <c r="B96" s="203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204"/>
      <c r="AA96" s="204"/>
      <c r="AB96" s="204"/>
      <c r="AC96" s="204"/>
    </row>
    <row r="97" spans="1:29">
      <c r="A97" s="203"/>
      <c r="B97" s="203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  <c r="AA97" s="204"/>
      <c r="AB97" s="204"/>
      <c r="AC97" s="204"/>
    </row>
    <row r="98" spans="1:29">
      <c r="A98" s="203"/>
      <c r="B98" s="203"/>
      <c r="C98" s="203"/>
      <c r="D98" s="203"/>
      <c r="E98" s="203"/>
      <c r="F98" s="203"/>
      <c r="G98" s="203"/>
      <c r="H98" s="203"/>
      <c r="I98" s="203"/>
      <c r="J98" s="203"/>
      <c r="K98" s="203"/>
      <c r="L98" s="203"/>
      <c r="M98" s="203"/>
      <c r="N98" s="203"/>
      <c r="O98" s="204"/>
      <c r="P98" s="204"/>
      <c r="Q98" s="204"/>
      <c r="R98" s="204"/>
      <c r="S98" s="204"/>
      <c r="T98" s="204"/>
      <c r="U98" s="204"/>
      <c r="V98" s="204"/>
      <c r="W98" s="204"/>
      <c r="X98" s="204"/>
      <c r="Y98" s="204"/>
      <c r="Z98" s="204"/>
      <c r="AA98" s="204"/>
      <c r="AB98" s="204"/>
      <c r="AC98" s="204"/>
    </row>
    <row r="99" spans="1:29">
      <c r="A99" s="203"/>
      <c r="B99" s="203"/>
      <c r="C99" s="203"/>
      <c r="D99" s="203"/>
      <c r="E99" s="203"/>
      <c r="F99" s="203"/>
      <c r="G99" s="203"/>
      <c r="H99" s="203"/>
      <c r="I99" s="203"/>
      <c r="J99" s="203"/>
      <c r="K99" s="203"/>
      <c r="L99" s="203"/>
      <c r="M99" s="203"/>
      <c r="N99" s="203"/>
      <c r="O99" s="204"/>
      <c r="P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  <c r="AA99" s="204"/>
      <c r="AB99" s="204"/>
      <c r="AC99" s="204"/>
    </row>
    <row r="100" spans="1:29">
      <c r="A100" s="203"/>
      <c r="B100" s="203"/>
      <c r="C100" s="203"/>
      <c r="D100" s="203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  <c r="AA100" s="204"/>
      <c r="AB100" s="204"/>
      <c r="AC100" s="204"/>
    </row>
    <row r="101" spans="1:29">
      <c r="A101" s="203"/>
      <c r="B101" s="203"/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  <c r="Z101" s="204"/>
      <c r="AA101" s="204"/>
      <c r="AB101" s="204"/>
      <c r="AC101" s="204"/>
    </row>
    <row r="102" spans="1:29">
      <c r="A102" s="203"/>
      <c r="B102" s="203"/>
      <c r="C102" s="203"/>
      <c r="D102" s="203"/>
      <c r="E102" s="203"/>
      <c r="F102" s="203"/>
      <c r="G102" s="203"/>
      <c r="H102" s="203"/>
      <c r="I102" s="203"/>
      <c r="J102" s="203"/>
      <c r="K102" s="203"/>
      <c r="L102" s="203"/>
      <c r="M102" s="203"/>
      <c r="N102" s="203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  <c r="AA102" s="204"/>
      <c r="AB102" s="204"/>
      <c r="AC102" s="204"/>
    </row>
    <row r="103" spans="1:29">
      <c r="A103" s="203"/>
      <c r="B103" s="203"/>
      <c r="C103" s="203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  <c r="AA103" s="204"/>
      <c r="AB103" s="204"/>
      <c r="AC103" s="204"/>
    </row>
    <row r="104" spans="1:29">
      <c r="A104" s="203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  <c r="AA104" s="204"/>
      <c r="AB104" s="204"/>
      <c r="AC104" s="204"/>
    </row>
    <row r="105" spans="1:29">
      <c r="A105" s="203"/>
      <c r="B105" s="203"/>
      <c r="C105" s="203"/>
      <c r="D105" s="203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  <c r="AA105" s="204"/>
      <c r="AB105" s="204"/>
      <c r="AC105" s="204"/>
    </row>
    <row r="106" spans="1:29">
      <c r="A106" s="203"/>
      <c r="B106" s="203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  <c r="AA106" s="204"/>
      <c r="AB106" s="204"/>
      <c r="AC106" s="204"/>
    </row>
    <row r="107" spans="1:29">
      <c r="A107" s="203"/>
      <c r="B107" s="203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  <c r="AA107" s="204"/>
      <c r="AB107" s="204"/>
      <c r="AC107" s="204"/>
    </row>
    <row r="108" spans="1:29">
      <c r="A108" s="203"/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  <c r="AA108" s="204"/>
      <c r="AB108" s="204"/>
      <c r="AC108" s="204"/>
    </row>
    <row r="109" spans="1:29">
      <c r="A109" s="203"/>
      <c r="B109" s="203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  <c r="AA109" s="204"/>
      <c r="AB109" s="204"/>
      <c r="AC109" s="204"/>
    </row>
    <row r="110" spans="1:29">
      <c r="A110" s="203"/>
      <c r="B110" s="203"/>
      <c r="C110" s="203"/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</row>
    <row r="111" spans="1:29">
      <c r="A111" s="203"/>
      <c r="B111" s="203"/>
      <c r="C111" s="203"/>
      <c r="D111" s="203"/>
      <c r="E111" s="203"/>
      <c r="F111" s="203"/>
      <c r="G111" s="203"/>
      <c r="H111" s="203"/>
      <c r="I111" s="203"/>
      <c r="J111" s="203"/>
      <c r="K111" s="203"/>
      <c r="L111" s="203"/>
      <c r="M111" s="203"/>
      <c r="N111" s="203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  <c r="AA111" s="204"/>
      <c r="AB111" s="204"/>
      <c r="AC111" s="204"/>
    </row>
    <row r="112" spans="1:29">
      <c r="A112" s="203"/>
      <c r="B112" s="203"/>
      <c r="C112" s="203"/>
      <c r="D112" s="203"/>
      <c r="E112" s="203"/>
      <c r="F112" s="203"/>
      <c r="G112" s="203"/>
      <c r="H112" s="203"/>
      <c r="I112" s="203"/>
      <c r="J112" s="203"/>
      <c r="K112" s="203"/>
      <c r="L112" s="203"/>
      <c r="M112" s="203"/>
      <c r="N112" s="203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  <c r="AA112" s="204"/>
      <c r="AB112" s="204"/>
      <c r="AC112" s="204"/>
    </row>
    <row r="113" spans="1:29">
      <c r="A113" s="203"/>
      <c r="B113" s="203"/>
      <c r="C113" s="203"/>
      <c r="D113" s="203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</row>
    <row r="114" spans="1:29">
      <c r="A114" s="203"/>
      <c r="B114" s="203"/>
      <c r="C114" s="203"/>
      <c r="D114" s="203"/>
      <c r="E114" s="203"/>
      <c r="F114" s="203"/>
      <c r="G114" s="203"/>
      <c r="H114" s="203"/>
      <c r="I114" s="203"/>
      <c r="J114" s="203"/>
      <c r="K114" s="203"/>
      <c r="L114" s="203"/>
      <c r="M114" s="203"/>
      <c r="N114" s="203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</row>
    <row r="115" spans="1:29">
      <c r="A115" s="203"/>
      <c r="B115" s="203"/>
      <c r="C115" s="203"/>
      <c r="D115" s="203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</row>
    <row r="116" spans="1:29">
      <c r="A116" s="203"/>
      <c r="B116" s="203"/>
      <c r="C116" s="203"/>
      <c r="D116" s="203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</row>
    <row r="117" spans="1:29">
      <c r="A117" s="203"/>
      <c r="B117" s="203"/>
      <c r="C117" s="203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</row>
    <row r="118" spans="1:29">
      <c r="A118" s="203"/>
      <c r="B118" s="203"/>
      <c r="C118" s="203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</row>
    <row r="119" spans="1:29">
      <c r="A119" s="203"/>
      <c r="B119" s="203"/>
      <c r="C119" s="203"/>
      <c r="D119" s="203"/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</row>
    <row r="120" spans="1:29">
      <c r="A120" s="203"/>
      <c r="B120" s="203"/>
      <c r="C120" s="203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</row>
    <row r="121" spans="1:29">
      <c r="A121" s="203"/>
      <c r="B121" s="203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</row>
    <row r="122" spans="1:29">
      <c r="A122" s="203"/>
      <c r="B122" s="203"/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</row>
    <row r="123" spans="1:29">
      <c r="A123" s="203"/>
      <c r="B123" s="203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</row>
    <row r="124" spans="1:29">
      <c r="A124" s="203"/>
      <c r="B124" s="203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</row>
    <row r="125" spans="1:29">
      <c r="A125" s="203"/>
      <c r="B125" s="203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</row>
    <row r="126" spans="1:29">
      <c r="A126" s="203"/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</row>
    <row r="127" spans="1:29">
      <c r="A127" s="203"/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</row>
    <row r="128" spans="1:29">
      <c r="A128" s="203"/>
      <c r="B128" s="203"/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</row>
    <row r="129" spans="1:14">
      <c r="A129" s="203"/>
      <c r="B129" s="203"/>
      <c r="C129" s="203"/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</row>
    <row r="130" spans="1:14">
      <c r="A130" s="203"/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</row>
    <row r="131" spans="1:14">
      <c r="A131" s="203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</row>
  </sheetData>
  <mergeCells count="2">
    <mergeCell ref="A1:C2"/>
    <mergeCell ref="O1:R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 foil stamp</vt:lpstr>
      <vt:lpstr>cal emboss-deboss</vt:lpstr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Sarawanee</dc:creator>
  <cp:lastModifiedBy>Tulagarn Sangoondee</cp:lastModifiedBy>
  <dcterms:created xsi:type="dcterms:W3CDTF">2022-05-20T03:33:30Z</dcterms:created>
  <dcterms:modified xsi:type="dcterms:W3CDTF">2022-08-07T18:41:55Z</dcterms:modified>
</cp:coreProperties>
</file>