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iri_interprint_Estimate_MI2\DOCUMENTS\"/>
    </mc:Choice>
  </mc:AlternateContent>
  <xr:revisionPtr revIDLastSave="0" documentId="13_ncr:1_{5BC30734-82CA-4320-AC18-BC05DC7885A9}" xr6:coauthVersionLast="47" xr6:coauthVersionMax="47" xr10:uidLastSave="{00000000-0000-0000-0000-000000000000}"/>
  <bookViews>
    <workbookView xWindow="-108" yWindow="-108" windowWidth="23256" windowHeight="13896" xr2:uid="{CD284D92-C7E9-4B9E-B7BC-9DF8AC5A3796}"/>
  </bookViews>
  <sheets>
    <sheet name="เพิ่มประเภทพิมพ์ Konica" sheetId="1" r:id="rId1"/>
    <sheet name="เพิ่มกระดาษ Sticker" sheetId="3" state="hidden" r:id="rId2"/>
    <sheet name="Min Price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9" i="1" l="1"/>
  <c r="AC10" i="1"/>
  <c r="AC11" i="1"/>
  <c r="AC12" i="1"/>
  <c r="AC13" i="1"/>
  <c r="AC14" i="1"/>
  <c r="AC15" i="1"/>
  <c r="AC16" i="1"/>
  <c r="AB10" i="1"/>
  <c r="AB11" i="1"/>
  <c r="AB12" i="1"/>
  <c r="AB13" i="1"/>
  <c r="AB14" i="1"/>
  <c r="AB15" i="1"/>
  <c r="AB16" i="1"/>
  <c r="AB9" i="1"/>
  <c r="Y9" i="1"/>
  <c r="Y10" i="1"/>
  <c r="Y11" i="1"/>
  <c r="Y12" i="1"/>
  <c r="Y13" i="1"/>
  <c r="Y14" i="1"/>
  <c r="Y15" i="1"/>
  <c r="Y16" i="1"/>
  <c r="X10" i="1"/>
  <c r="X11" i="1"/>
  <c r="X12" i="1"/>
  <c r="X13" i="1"/>
  <c r="X14" i="1"/>
  <c r="X15" i="1"/>
  <c r="X16" i="1"/>
  <c r="X9" i="1"/>
</calcChain>
</file>

<file path=xl/sharedStrings.xml><?xml version="1.0" encoding="utf-8"?>
<sst xmlns="http://schemas.openxmlformats.org/spreadsheetml/2006/main" count="336" uniqueCount="120">
  <si>
    <t>gsm</t>
  </si>
  <si>
    <t>paper</t>
  </si>
  <si>
    <t>max</t>
  </si>
  <si>
    <t>min</t>
  </si>
  <si>
    <t>color</t>
  </si>
  <si>
    <t>4/0</t>
  </si>
  <si>
    <t>4/4</t>
  </si>
  <si>
    <t>15.5 * 21.5</t>
  </si>
  <si>
    <t>18 * 25</t>
  </si>
  <si>
    <t xml:space="preserve">21 * 29.5 </t>
  </si>
  <si>
    <t>23 * 29.5</t>
  </si>
  <si>
    <t>ผ่าพิมพ์</t>
  </si>
  <si>
    <t>คิดราคา</t>
  </si>
  <si>
    <t>31 * 43</t>
  </si>
  <si>
    <t>36 * 25</t>
  </si>
  <si>
    <t>43 * 31</t>
  </si>
  <si>
    <t>25 * 36</t>
  </si>
  <si>
    <t>-</t>
  </si>
  <si>
    <t>lay</t>
  </si>
  <si>
    <t>25 *36</t>
  </si>
  <si>
    <t>paper gsm</t>
  </si>
  <si>
    <t>Print Rate</t>
  </si>
  <si>
    <t>Plate</t>
  </si>
  <si>
    <t>บาท</t>
  </si>
  <si>
    <t>บาท/ใบพิมพ์/ 1 ด้าน</t>
  </si>
  <si>
    <t>เผื่อเสียพิมพ์</t>
  </si>
  <si>
    <t>101-300</t>
  </si>
  <si>
    <t>301-500</t>
  </si>
  <si>
    <t>501-800</t>
  </si>
  <si>
    <t>801-1000</t>
  </si>
  <si>
    <t>1001-1500</t>
  </si>
  <si>
    <t>1501-2000</t>
  </si>
  <si>
    <t>เผื่อเสียอื่น ๆ</t>
  </si>
  <si>
    <t>ทุกขั้นตอนลดลง 30%</t>
  </si>
  <si>
    <t>สมมติ</t>
  </si>
  <si>
    <t>outside</t>
  </si>
  <si>
    <t>inside</t>
  </si>
  <si>
    <t>21 * 29.5</t>
  </si>
  <si>
    <t>ต่องาน</t>
  </si>
  <si>
    <t>ไม่มีสีพิเศษ</t>
  </si>
  <si>
    <t>ใส่จำนวนสีด้านเดียว คิดแบบ 4/0</t>
  </si>
  <si>
    <t>ใส่จำนวนสี 2 ด้าน คิดแบบ 4/4</t>
  </si>
  <si>
    <t>ใบพิมพ์รวมเผื่อเสีย</t>
  </si>
  <si>
    <t>ใบพิมพ์</t>
  </si>
  <si>
    <t>อาร์ตการ์ด (A/C C1S, A/C C2S, W/C)</t>
  </si>
  <si>
    <t>กล่อง (Duplex BBB, GBB, WBB)</t>
  </si>
  <si>
    <t>วางเลย์</t>
  </si>
  <si>
    <t>มีแค่ถูกเกรนเท่านั้น</t>
  </si>
  <si>
    <t>gripper</t>
  </si>
  <si>
    <t>color bar</t>
  </si>
  <si>
    <t>ขอบกระดาษ</t>
  </si>
  <si>
    <t>เผื่อเจียร</t>
  </si>
  <si>
    <t>mm</t>
  </si>
  <si>
    <t>jetpress (เพิ่มใน dropdown ประเภทพิมพ์)</t>
  </si>
  <si>
    <t>เปลี่ยนเป็นค่า Proof</t>
  </si>
  <si>
    <t>Rate ทุก process</t>
  </si>
  <si>
    <t>ใช้เหมือนเดิม</t>
  </si>
  <si>
    <t xml:space="preserve">template </t>
  </si>
  <si>
    <t>min price</t>
  </si>
  <si>
    <t>id</t>
  </si>
  <si>
    <t>type</t>
  </si>
  <si>
    <t>min_qty</t>
  </si>
  <si>
    <t>max_qty</t>
  </si>
  <si>
    <t>min_price</t>
  </si>
  <si>
    <t>print_1col</t>
  </si>
  <si>
    <t>print_3col</t>
  </si>
  <si>
    <t>print_5col</t>
  </si>
  <si>
    <t>trim</t>
  </si>
  <si>
    <t>diecut</t>
  </si>
  <si>
    <t>foilstamp</t>
  </si>
  <si>
    <t>bossing</t>
  </si>
  <si>
    <t>inspection</t>
  </si>
  <si>
    <t>assembly_S</t>
  </si>
  <si>
    <t>assembly_M</t>
  </si>
  <si>
    <t>assembly_L</t>
  </si>
  <si>
    <t>chip</t>
  </si>
  <si>
    <t>print_flexo</t>
  </si>
  <si>
    <t xml:space="preserve"> </t>
  </si>
  <si>
    <t>= 6 * ใบพิมพ์รวมเผื่อเสีย</t>
  </si>
  <si>
    <t>1-50</t>
  </si>
  <si>
    <t>51-100</t>
  </si>
  <si>
    <t>2001-10000000</t>
  </si>
  <si>
    <t>min_price_jet_press</t>
  </si>
  <si>
    <t>13 * 19</t>
  </si>
  <si>
    <t>= 3 * ใบพิมพ์รวมเผื่อเสีย</t>
  </si>
  <si>
    <t>min_price_Konica</t>
  </si>
  <si>
    <t>เหมือน jetpress</t>
  </si>
  <si>
    <t>18 * 12.5</t>
  </si>
  <si>
    <t>19 * 13</t>
  </si>
  <si>
    <t>12.5 * 18</t>
  </si>
  <si>
    <t>35 * 24</t>
  </si>
  <si>
    <t>17.5 * 12</t>
  </si>
  <si>
    <t>24 * 35</t>
  </si>
  <si>
    <t>12 * 17.5</t>
  </si>
  <si>
    <t>Wood free / art / matt art</t>
  </si>
  <si>
    <t>มีตัวเลือกผิดเกรน/ถูกเกรน ตามปกติ</t>
  </si>
  <si>
    <t xml:space="preserve">ทุกขนาด </t>
  </si>
  <si>
    <t>ขาว/ดำ 1 สี</t>
  </si>
  <si>
    <t>เปลี่ยนตัวเลือก ติ๊กสีพิเศษ เป็นติ๊ก พิมพ์สีดำ</t>
  </si>
  <si>
    <t>กรณีใส่ 1/0 และติ๊ก พิมพ์สีดำ จะใช้เรทขาว/ดำ 1 สี นอกนั้นใช้เรทปกติทั้งหมด</t>
  </si>
  <si>
    <t>เพิ่มตัวเลือก</t>
  </si>
  <si>
    <t>Digital Die-Cut</t>
  </si>
  <si>
    <t>5 บาท/แผ่น</t>
  </si>
  <si>
    <t>กรณีเลือก</t>
  </si>
  <si>
    <t>จะไม่มีการคำนวณ Process : Die-Cut, Block Die-Cut และ แกะ ที่มีในงานปกติ</t>
  </si>
  <si>
    <t>เพิ่ม Sticker ในระบบ Estimate Packaging</t>
  </si>
  <si>
    <t>price</t>
  </si>
  <si>
    <t>paper_code</t>
  </si>
  <si>
    <t>paper_type</t>
  </si>
  <si>
    <t>gram</t>
  </si>
  <si>
    <t>thickness_micron</t>
  </si>
  <si>
    <t>thickness_mm</t>
  </si>
  <si>
    <r>
      <t xml:space="preserve">ไม่มีพิมพ์สีพิเศษ และกำหนดเป็น </t>
    </r>
    <r>
      <rPr>
        <b/>
        <sz val="14"/>
        <color theme="1"/>
        <rFont val="TH Sarabun New"/>
        <family val="2"/>
      </rPr>
      <t>B/Sheet</t>
    </r>
    <r>
      <rPr>
        <sz val="14"/>
        <color theme="1"/>
        <rFont val="TH Sarabun New"/>
        <family val="2"/>
      </rPr>
      <t xml:space="preserve"> เท่านั้น</t>
    </r>
  </si>
  <si>
    <t>ST</t>
  </si>
  <si>
    <t>PP Gloss</t>
  </si>
  <si>
    <t>PP Matt</t>
  </si>
  <si>
    <t>PP Clear</t>
  </si>
  <si>
    <t>มี Std.Size ขนาดเดียวคือ 13" x 19"</t>
  </si>
  <si>
    <t>Konica (เพิ่มใน dropdown ประเภทพิมพ์) //Estimate Packaging</t>
  </si>
  <si>
    <t>Std. paper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</si>
</sst>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4"/>
      <name val="TH Sarabun New"/>
      <family val="2"/>
    </font>
    <font>
      <b/>
      <sz val="14"/>
      <color rgb="FFFF0000"/>
      <name val="TH Sarabun New"/>
      <family val="2"/>
    </font>
    <font>
      <sz val="14"/>
      <color rgb="FFFF0000"/>
      <name val="TH Sarabun New"/>
      <family val="2"/>
    </font>
    <font>
      <sz val="14"/>
      <name val="TH Sarabun New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3" xfId="0" quotePrefix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4" xfId="0" quotePrefix="1" applyFont="1" applyFill="1" applyBorder="1" applyAlignment="1">
      <alignment horizontal="center"/>
    </xf>
    <xf numFmtId="0" fontId="1" fillId="4" borderId="8" xfId="0" quotePrefix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quotePrefix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quotePrefix="1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quotePrefix="1" applyFont="1" applyFill="1" applyBorder="1" applyAlignment="1">
      <alignment horizontal="center"/>
    </xf>
    <xf numFmtId="0" fontId="1" fillId="4" borderId="23" xfId="0" quotePrefix="1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quotePrefix="1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4" xfId="0" quotePrefix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1" fillId="0" borderId="0" xfId="0" applyFont="1"/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7" borderId="11" xfId="0" applyFont="1" applyFill="1" applyBorder="1"/>
    <xf numFmtId="0" fontId="1" fillId="7" borderId="0" xfId="0" applyFont="1" applyFill="1" applyAlignment="1">
      <alignment horizontal="center"/>
    </xf>
    <xf numFmtId="49" fontId="1" fillId="7" borderId="13" xfId="0" applyNumberFormat="1" applyFont="1" applyFill="1" applyBorder="1" applyAlignment="1">
      <alignment horizontal="center"/>
    </xf>
    <xf numFmtId="0" fontId="1" fillId="7" borderId="13" xfId="0" applyFont="1" applyFill="1" applyBorder="1"/>
    <xf numFmtId="49" fontId="1" fillId="7" borderId="15" xfId="0" quotePrefix="1" applyNumberFormat="1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5" xfId="0" applyFont="1" applyFill="1" applyBorder="1"/>
    <xf numFmtId="0" fontId="1" fillId="7" borderId="16" xfId="0" applyFont="1" applyFill="1" applyBorder="1" applyAlignment="1">
      <alignment horizontal="center"/>
    </xf>
    <xf numFmtId="0" fontId="1" fillId="7" borderId="0" xfId="0" quotePrefix="1" applyFont="1" applyFill="1" applyAlignment="1">
      <alignment horizontal="center"/>
    </xf>
    <xf numFmtId="0" fontId="1" fillId="7" borderId="23" xfId="0" applyFont="1" applyFill="1" applyBorder="1" applyAlignment="1">
      <alignment horizontal="center"/>
    </xf>
    <xf numFmtId="49" fontId="1" fillId="7" borderId="0" xfId="0" applyNumberFormat="1" applyFont="1" applyFill="1" applyAlignment="1">
      <alignment horizontal="center"/>
    </xf>
    <xf numFmtId="49" fontId="1" fillId="7" borderId="11" xfId="0" applyNumberFormat="1" applyFont="1" applyFill="1" applyBorder="1" applyAlignment="1">
      <alignment horizontal="center"/>
    </xf>
    <xf numFmtId="49" fontId="1" fillId="7" borderId="30" xfId="0" applyNumberFormat="1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0" fontId="1" fillId="7" borderId="33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1" fillId="7" borderId="35" xfId="0" applyFont="1" applyFill="1" applyBorder="1" applyAlignment="1">
      <alignment horizontal="center"/>
    </xf>
    <xf numFmtId="0" fontId="1" fillId="7" borderId="36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7" borderId="37" xfId="0" applyFont="1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" fillId="7" borderId="0" xfId="0" applyFont="1" applyFill="1"/>
    <xf numFmtId="0" fontId="5" fillId="8" borderId="29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49" fontId="1" fillId="7" borderId="31" xfId="0" quotePrefix="1" applyNumberFormat="1" applyFont="1" applyFill="1" applyBorder="1" applyAlignment="1">
      <alignment horizontal="center"/>
    </xf>
    <xf numFmtId="0" fontId="1" fillId="4" borderId="14" xfId="0" quotePrefix="1" applyFont="1" applyFill="1" applyBorder="1" applyAlignment="1">
      <alignment horizontal="center"/>
    </xf>
    <xf numFmtId="0" fontId="1" fillId="7" borderId="15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left"/>
    </xf>
    <xf numFmtId="0" fontId="1" fillId="10" borderId="0" xfId="0" applyFont="1" applyFill="1" applyAlignment="1">
      <alignment horizontal="center"/>
    </xf>
    <xf numFmtId="0" fontId="1" fillId="10" borderId="11" xfId="0" applyFont="1" applyFill="1" applyBorder="1" applyAlignment="1">
      <alignment horizontal="center"/>
    </xf>
    <xf numFmtId="49" fontId="1" fillId="10" borderId="11" xfId="0" applyNumberFormat="1" applyFont="1" applyFill="1" applyBorder="1" applyAlignment="1">
      <alignment horizontal="center"/>
    </xf>
    <xf numFmtId="49" fontId="1" fillId="10" borderId="0" xfId="0" applyNumberFormat="1" applyFont="1" applyFill="1" applyAlignment="1">
      <alignment horizontal="center"/>
    </xf>
    <xf numFmtId="49" fontId="1" fillId="10" borderId="30" xfId="0" applyNumberFormat="1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7" borderId="37" xfId="0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0" fontId="1" fillId="10" borderId="37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47" fontId="1" fillId="0" borderId="0" xfId="0" applyNumberFormat="1" applyFont="1"/>
    <xf numFmtId="47" fontId="1" fillId="0" borderId="0" xfId="0" applyNumberFormat="1" applyFont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1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7" borderId="37" xfId="0" applyFont="1" applyFill="1" applyBorder="1" applyAlignment="1">
      <alignment horizontal="center" wrapText="1"/>
    </xf>
    <xf numFmtId="0" fontId="1" fillId="7" borderId="37" xfId="0" applyFont="1" applyFill="1" applyBorder="1" applyAlignment="1">
      <alignment horizontal="left"/>
    </xf>
    <xf numFmtId="0" fontId="1" fillId="7" borderId="0" xfId="0" applyFont="1" applyFill="1" applyAlignment="1">
      <alignment horizontal="left"/>
    </xf>
    <xf numFmtId="0" fontId="1" fillId="7" borderId="0" xfId="0" quotePrefix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4" fillId="7" borderId="29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left"/>
    </xf>
    <xf numFmtId="0" fontId="1" fillId="7" borderId="15" xfId="0" applyFont="1" applyFill="1" applyBorder="1" applyAlignment="1">
      <alignment horizontal="left"/>
    </xf>
    <xf numFmtId="0" fontId="1" fillId="7" borderId="13" xfId="0" quotePrefix="1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493059</xdr:colOff>
      <xdr:row>70</xdr:row>
      <xdr:rowOff>53788</xdr:rowOff>
    </xdr:from>
    <xdr:to>
      <xdr:col>18</xdr:col>
      <xdr:colOff>690282</xdr:colOff>
      <xdr:row>82</xdr:row>
      <xdr:rowOff>143435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A6FF04B-EB66-820D-BDC5-04B86C838600}"/>
            </a:ext>
          </a:extLst>
        </xdr:cNvPr>
        <xdr:cNvSpPr/>
      </xdr:nvSpPr>
      <xdr:spPr>
        <a:xfrm>
          <a:off x="9744635" y="19050000"/>
          <a:ext cx="8355106" cy="33169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11</xdr:col>
      <xdr:colOff>161364</xdr:colOff>
      <xdr:row>21</xdr:row>
      <xdr:rowOff>185853</xdr:rowOff>
    </xdr:from>
    <xdr:to>
      <xdr:col>18</xdr:col>
      <xdr:colOff>708212</xdr:colOff>
      <xdr:row>28</xdr:row>
      <xdr:rowOff>161801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2069CBD-1869-786A-040C-07E80690EE86}"/>
            </a:ext>
          </a:extLst>
        </xdr:cNvPr>
        <xdr:cNvGrpSpPr/>
      </xdr:nvGrpSpPr>
      <xdr:grpSpPr>
        <a:xfrm>
          <a:off x="9457764" y="5896371"/>
          <a:ext cx="6902824" cy="1858536"/>
          <a:chOff x="10497670" y="5896371"/>
          <a:chExt cx="7620001" cy="1858536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44060CE-6B40-A497-AEDD-C71482C5011A}"/>
              </a:ext>
            </a:extLst>
          </xdr:cNvPr>
          <xdr:cNvGrpSpPr/>
        </xdr:nvGrpSpPr>
        <xdr:grpSpPr>
          <a:xfrm>
            <a:off x="10497670" y="5896371"/>
            <a:ext cx="7620001" cy="1858536"/>
            <a:chOff x="10497670" y="5896371"/>
            <a:chExt cx="7620001" cy="1858536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574F935-45B8-EE44-74B0-581E4A25D6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0497670" y="5896371"/>
              <a:ext cx="7620001" cy="1858536"/>
            </a:xfrm>
            <a:prstGeom prst="rect">
              <a:avLst/>
            </a:prstGeom>
            <a:ln>
              <a:solidFill>
                <a:sysClr val="windowText" lastClr="000000"/>
              </a:solidFill>
            </a:ln>
          </xdr:spPr>
        </xdr:pic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1C8CBFDB-6ABE-5F81-EE24-B9D0B95DE943}"/>
                </a:ext>
              </a:extLst>
            </xdr:cNvPr>
            <xdr:cNvSpPr/>
          </xdr:nvSpPr>
          <xdr:spPr>
            <a:xfrm>
              <a:off x="12057529" y="7001435"/>
              <a:ext cx="977153" cy="47513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</xdr:grp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A3DBAAAD-E60B-322F-4D0B-7992054764A3}"/>
              </a:ext>
            </a:extLst>
          </xdr:cNvPr>
          <xdr:cNvSpPr txBox="1"/>
        </xdr:nvSpPr>
        <xdr:spPr>
          <a:xfrm>
            <a:off x="12030635" y="6992471"/>
            <a:ext cx="734560" cy="3995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th-TH" sz="1800" b="0">
                <a:latin typeface="TH Sarabun New" panose="020B0500040200020003" pitchFamily="34" charset="-34"/>
                <a:cs typeface="TH Sarabun New" panose="020B0500040200020003" pitchFamily="34" charset="-34"/>
              </a:rPr>
              <a:t>พิมพ์สีดำ</a:t>
            </a:r>
          </a:p>
        </xdr:txBody>
      </xdr:sp>
    </xdr:grpSp>
    <xdr:clientData/>
  </xdr:twoCellAnchor>
  <xdr:twoCellAnchor editAs="oneCell">
    <xdr:from>
      <xdr:col>10</xdr:col>
      <xdr:colOff>768156</xdr:colOff>
      <xdr:row>72</xdr:row>
      <xdr:rowOff>8965</xdr:rowOff>
    </xdr:from>
    <xdr:to>
      <xdr:col>18</xdr:col>
      <xdr:colOff>681319</xdr:colOff>
      <xdr:row>82</xdr:row>
      <xdr:rowOff>110109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675782-A964-D9F3-BABE-403BB3B71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19732" y="19543059"/>
          <a:ext cx="8071046" cy="2790556"/>
        </a:xfrm>
        <a:prstGeom prst="rect">
          <a:avLst/>
        </a:prstGeom>
      </xdr:spPr>
    </xdr:pic>
    <xdr:clientData/>
  </xdr:twoCellAnchor>
  <xdr:twoCellAnchor editAs="oneCell">
    <xdr:from>
      <xdr:col>10</xdr:col>
      <xdr:colOff>806825</xdr:colOff>
      <xdr:row>70</xdr:row>
      <xdr:rowOff>259976</xdr:rowOff>
    </xdr:from>
    <xdr:to>
      <xdr:col>11</xdr:col>
      <xdr:colOff>2</xdr:colOff>
      <xdr:row>71</xdr:row>
      <xdr:rowOff>215153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BEF1D72-FF27-84BD-E1E6-587E6A8A9B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074" t="19146" r="73897" b="40968"/>
        <a:stretch/>
      </xdr:blipFill>
      <xdr:spPr>
        <a:xfrm>
          <a:off x="10058401" y="19256188"/>
          <a:ext cx="170330" cy="224118"/>
        </a:xfrm>
        <a:prstGeom prst="rect">
          <a:avLst/>
        </a:prstGeom>
      </xdr:spPr>
    </xdr:pic>
    <xdr:clientData/>
  </xdr:twoCellAnchor>
  <xdr:oneCellAnchor>
    <xdr:from>
      <xdr:col>10</xdr:col>
      <xdr:colOff>968189</xdr:colOff>
      <xdr:row>70</xdr:row>
      <xdr:rowOff>215152</xdr:rowOff>
    </xdr:from>
    <xdr:ext cx="1051442" cy="36542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C1CFC8A-A2B5-35F2-030F-A99BAE9EBCA6}"/>
            </a:ext>
          </a:extLst>
        </xdr:cNvPr>
        <xdr:cNvSpPr txBox="1"/>
      </xdr:nvSpPr>
      <xdr:spPr>
        <a:xfrm>
          <a:off x="10219765" y="19211364"/>
          <a:ext cx="1051442" cy="3654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0">
              <a:latin typeface="TH Sarabun New" panose="020B0500040200020003" pitchFamily="34" charset="-34"/>
              <a:cs typeface="TH Sarabun New" panose="020B0500040200020003" pitchFamily="34" charset="-34"/>
            </a:rPr>
            <a:t>Digital</a:t>
          </a:r>
          <a:r>
            <a:rPr lang="en-US" sz="1600" b="0" baseline="0">
              <a:latin typeface="TH Sarabun New" panose="020B0500040200020003" pitchFamily="34" charset="-34"/>
              <a:cs typeface="TH Sarabun New" panose="020B0500040200020003" pitchFamily="34" charset="-34"/>
            </a:rPr>
            <a:t> Die-Cut</a:t>
          </a:r>
          <a:endParaRPr lang="th-TH" sz="1600" b="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A16AC-7C30-4D6C-A690-C2EC7FD7970E}" name="Table1" displayName="Table1" ref="A1:E26" totalsRowShown="0" headerRowDxfId="6" dataDxfId="5">
  <autoFilter ref="A1:E26" xr:uid="{7B6A16AC-7C30-4D6C-A690-C2EC7FD7970E}"/>
  <tableColumns count="5">
    <tableColumn id="1" xr3:uid="{3BABC919-D5BE-44B1-98D1-175386BAD927}" name="id" dataDxfId="4"/>
    <tableColumn id="2" xr3:uid="{358DB2A8-DF96-4F8E-8AB2-EA4B97A24479}" name="type" dataDxfId="3"/>
    <tableColumn id="3" xr3:uid="{D7CAD424-7216-464A-A48F-602E789D9F7E}" name="min_qty" dataDxfId="2"/>
    <tableColumn id="4" xr3:uid="{6F0DB3D6-B1DD-4A70-9F18-E25EDDFF6C4C}" name="max_qty" dataDxfId="1"/>
    <tableColumn id="5" xr3:uid="{FF474B6A-7B32-4F9F-AE3B-E41315A5695B}" name="min_pric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796A-3D6F-4872-B2ED-FE2C522B11F6}">
  <dimension ref="A1:AC83"/>
  <sheetViews>
    <sheetView tabSelected="1" topLeftCell="B1" zoomScale="85" zoomScaleNormal="85" workbookViewId="0">
      <pane ySplit="1" topLeftCell="A4" activePane="bottomLeft" state="frozen"/>
      <selection pane="bottomLeft" activeCell="R17" sqref="R17"/>
    </sheetView>
  </sheetViews>
  <sheetFormatPr defaultColWidth="8.88671875" defaultRowHeight="21" x14ac:dyDescent="0.6"/>
  <cols>
    <col min="1" max="1" width="14.21875" style="1" bestFit="1" customWidth="1"/>
    <col min="2" max="2" width="11.88671875" style="1" bestFit="1" customWidth="1"/>
    <col min="3" max="3" width="11.6640625" style="1" customWidth="1"/>
    <col min="4" max="4" width="15.21875" style="1" bestFit="1" customWidth="1"/>
    <col min="5" max="6" width="11.6640625" style="1" customWidth="1"/>
    <col min="7" max="7" width="16.21875" style="1" bestFit="1" customWidth="1"/>
    <col min="8" max="8" width="14.5546875" style="1" bestFit="1" customWidth="1"/>
    <col min="9" max="9" width="11.88671875" style="1" customWidth="1"/>
    <col min="10" max="10" width="2.44140625" style="46" customWidth="1"/>
    <col min="11" max="11" width="14.21875" style="1" bestFit="1" customWidth="1"/>
    <col min="12" max="12" width="11.88671875" style="1" bestFit="1" customWidth="1"/>
    <col min="13" max="13" width="11.6640625" style="1" customWidth="1"/>
    <col min="14" max="14" width="15.21875" style="1" bestFit="1" customWidth="1"/>
    <col min="15" max="16" width="11.6640625" style="1" customWidth="1"/>
    <col min="17" max="17" width="16.21875" style="1" bestFit="1" customWidth="1"/>
    <col min="18" max="18" width="14.5546875" style="1" bestFit="1" customWidth="1"/>
    <col min="19" max="19" width="11.88671875" style="1" customWidth="1"/>
    <col min="20" max="20" width="9.5546875" style="1" customWidth="1"/>
    <col min="21" max="30" width="8.88671875" style="1"/>
    <col min="31" max="31" width="10.21875" style="1" bestFit="1" customWidth="1"/>
    <col min="32" max="16384" width="8.88671875" style="1"/>
  </cols>
  <sheetData>
    <row r="1" spans="1:29" ht="21.6" thickBot="1" x14ac:dyDescent="0.65">
      <c r="A1" s="130" t="s">
        <v>53</v>
      </c>
      <c r="B1" s="130"/>
      <c r="C1" s="130"/>
      <c r="D1" s="130"/>
      <c r="E1" s="130"/>
      <c r="F1" s="130"/>
      <c r="G1" s="130"/>
      <c r="H1" s="130"/>
      <c r="I1" s="130"/>
      <c r="K1" s="115" t="s">
        <v>118</v>
      </c>
      <c r="L1" s="115"/>
      <c r="M1" s="115"/>
      <c r="N1" s="115"/>
      <c r="O1" s="115"/>
      <c r="P1" s="115"/>
      <c r="Q1" s="115"/>
      <c r="R1" s="115"/>
      <c r="S1" s="115"/>
    </row>
    <row r="2" spans="1:29" x14ac:dyDescent="0.6">
      <c r="A2" s="32" t="s">
        <v>20</v>
      </c>
      <c r="B2" s="38" t="s">
        <v>2</v>
      </c>
      <c r="C2" s="40">
        <v>500</v>
      </c>
      <c r="D2" s="40" t="s">
        <v>0</v>
      </c>
      <c r="E2" s="40"/>
      <c r="F2" s="40"/>
      <c r="G2" s="40"/>
      <c r="H2" s="40"/>
      <c r="I2" s="41"/>
      <c r="K2" s="32" t="s">
        <v>20</v>
      </c>
      <c r="L2" s="38" t="s">
        <v>2</v>
      </c>
      <c r="M2" s="40">
        <v>300</v>
      </c>
      <c r="N2" s="40" t="s">
        <v>0</v>
      </c>
      <c r="O2" s="40"/>
      <c r="P2" s="40"/>
      <c r="Q2" s="40"/>
      <c r="R2" s="40"/>
      <c r="S2" s="41"/>
    </row>
    <row r="3" spans="1:29" ht="21.6" thickBot="1" x14ac:dyDescent="0.65">
      <c r="A3" s="61"/>
      <c r="B3" s="44" t="s">
        <v>3</v>
      </c>
      <c r="C3" s="42">
        <v>210</v>
      </c>
      <c r="D3" s="42" t="s">
        <v>0</v>
      </c>
      <c r="E3" s="42"/>
      <c r="F3" s="42"/>
      <c r="G3" s="42"/>
      <c r="H3" s="42"/>
      <c r="I3" s="43"/>
      <c r="K3" s="61"/>
      <c r="L3" s="44" t="s">
        <v>3</v>
      </c>
      <c r="M3" s="82">
        <v>60</v>
      </c>
      <c r="N3" s="42" t="s">
        <v>0</v>
      </c>
      <c r="O3" s="42"/>
      <c r="P3" s="42"/>
      <c r="Q3" s="42"/>
      <c r="R3" s="42"/>
      <c r="S3" s="43"/>
    </row>
    <row r="4" spans="1:29" x14ac:dyDescent="0.6">
      <c r="A4" s="32" t="s">
        <v>4</v>
      </c>
      <c r="B4" s="40" t="s">
        <v>5</v>
      </c>
      <c r="C4" s="116" t="s">
        <v>40</v>
      </c>
      <c r="D4" s="116"/>
      <c r="E4" s="40" t="s">
        <v>39</v>
      </c>
      <c r="F4" s="45"/>
      <c r="G4" s="45"/>
      <c r="H4" s="46"/>
      <c r="I4" s="41"/>
      <c r="K4" s="32" t="s">
        <v>4</v>
      </c>
      <c r="L4" s="81" t="s">
        <v>5</v>
      </c>
      <c r="M4" s="116" t="s">
        <v>40</v>
      </c>
      <c r="N4" s="116"/>
      <c r="O4" s="40" t="s">
        <v>39</v>
      </c>
      <c r="P4" s="106" t="s">
        <v>86</v>
      </c>
      <c r="Q4" s="45"/>
      <c r="R4" s="40"/>
      <c r="S4" s="41"/>
    </row>
    <row r="5" spans="1:29" ht="21.6" thickBot="1" x14ac:dyDescent="0.65">
      <c r="A5" s="61"/>
      <c r="B5" s="47" t="s">
        <v>6</v>
      </c>
      <c r="C5" s="117" t="s">
        <v>41</v>
      </c>
      <c r="D5" s="117"/>
      <c r="E5" s="46"/>
      <c r="F5" s="48"/>
      <c r="G5" s="48"/>
      <c r="H5" s="42"/>
      <c r="I5" s="43"/>
      <c r="K5" s="61"/>
      <c r="L5" s="57" t="s">
        <v>6</v>
      </c>
      <c r="M5" s="117" t="s">
        <v>41</v>
      </c>
      <c r="N5" s="117"/>
      <c r="O5" s="42"/>
      <c r="P5" s="48"/>
      <c r="Q5" s="48"/>
      <c r="R5" s="42"/>
      <c r="S5" s="43"/>
    </row>
    <row r="6" spans="1:29" ht="21.6" thickBot="1" x14ac:dyDescent="0.65">
      <c r="A6" s="33" t="s">
        <v>22</v>
      </c>
      <c r="B6" s="49" t="s">
        <v>17</v>
      </c>
      <c r="C6" s="124" t="s">
        <v>54</v>
      </c>
      <c r="D6" s="124"/>
      <c r="E6" s="50">
        <v>500</v>
      </c>
      <c r="F6" s="50" t="s">
        <v>23</v>
      </c>
      <c r="G6" s="46" t="s">
        <v>38</v>
      </c>
      <c r="H6" s="51"/>
      <c r="I6" s="52"/>
      <c r="J6" s="74"/>
      <c r="K6" s="76" t="s">
        <v>22</v>
      </c>
      <c r="L6" s="83" t="s">
        <v>17</v>
      </c>
      <c r="M6" s="124" t="s">
        <v>54</v>
      </c>
      <c r="N6" s="124"/>
      <c r="O6" s="50">
        <v>500</v>
      </c>
      <c r="P6" s="50" t="s">
        <v>23</v>
      </c>
      <c r="Q6" s="40" t="s">
        <v>38</v>
      </c>
      <c r="R6" s="106" t="s">
        <v>86</v>
      </c>
      <c r="S6" s="52"/>
      <c r="T6" s="37"/>
    </row>
    <row r="7" spans="1:29" x14ac:dyDescent="0.6">
      <c r="A7" s="32" t="s">
        <v>1</v>
      </c>
      <c r="B7" s="119" t="s">
        <v>44</v>
      </c>
      <c r="C7" s="119"/>
      <c r="D7" s="119"/>
      <c r="E7" s="120"/>
      <c r="F7" s="121" t="s">
        <v>45</v>
      </c>
      <c r="G7" s="122"/>
      <c r="H7" s="122"/>
      <c r="I7" s="123"/>
      <c r="J7" s="74"/>
      <c r="K7" s="73" t="s">
        <v>1</v>
      </c>
      <c r="L7" s="118" t="s">
        <v>44</v>
      </c>
      <c r="M7" s="119"/>
      <c r="N7" s="119"/>
      <c r="O7" s="120"/>
      <c r="P7" s="121" t="s">
        <v>94</v>
      </c>
      <c r="Q7" s="122"/>
      <c r="R7" s="122"/>
      <c r="S7" s="123"/>
      <c r="T7" s="37"/>
      <c r="U7" s="132" t="s">
        <v>119</v>
      </c>
      <c r="V7" s="132"/>
      <c r="W7" s="132"/>
      <c r="X7" s="132"/>
      <c r="Y7" s="132"/>
      <c r="Z7" s="132"/>
      <c r="AA7" s="132"/>
      <c r="AB7" s="132"/>
      <c r="AC7" s="132"/>
    </row>
    <row r="8" spans="1:29" x14ac:dyDescent="0.6">
      <c r="A8" s="58"/>
      <c r="B8" s="28" t="s">
        <v>18</v>
      </c>
      <c r="C8" s="2" t="s">
        <v>1</v>
      </c>
      <c r="D8" s="2" t="s">
        <v>11</v>
      </c>
      <c r="E8" s="2" t="s">
        <v>12</v>
      </c>
      <c r="F8" s="3" t="s">
        <v>18</v>
      </c>
      <c r="G8" s="3" t="s">
        <v>1</v>
      </c>
      <c r="H8" s="3" t="s">
        <v>11</v>
      </c>
      <c r="I8" s="18" t="s">
        <v>12</v>
      </c>
      <c r="K8" s="71"/>
      <c r="L8" s="77" t="s">
        <v>18</v>
      </c>
      <c r="M8" s="2" t="s">
        <v>1</v>
      </c>
      <c r="N8" s="2" t="s">
        <v>11</v>
      </c>
      <c r="O8" s="2" t="s">
        <v>12</v>
      </c>
      <c r="P8" s="3" t="s">
        <v>18</v>
      </c>
      <c r="Q8" s="3" t="s">
        <v>1</v>
      </c>
      <c r="R8" s="3" t="s">
        <v>11</v>
      </c>
      <c r="S8" s="18" t="s">
        <v>12</v>
      </c>
      <c r="X8" s="1" t="s">
        <v>52</v>
      </c>
      <c r="Y8" s="1" t="s">
        <v>52</v>
      </c>
      <c r="AB8" s="1" t="s">
        <v>52</v>
      </c>
      <c r="AC8" s="1" t="s">
        <v>52</v>
      </c>
    </row>
    <row r="9" spans="1:29" x14ac:dyDescent="0.6">
      <c r="A9" s="125"/>
      <c r="B9" s="29" t="s">
        <v>7</v>
      </c>
      <c r="C9" s="4" t="s">
        <v>13</v>
      </c>
      <c r="D9" s="6">
        <v>4</v>
      </c>
      <c r="E9" s="8" t="s">
        <v>17</v>
      </c>
      <c r="F9" s="9" t="s">
        <v>7</v>
      </c>
      <c r="G9" s="13" t="s">
        <v>13</v>
      </c>
      <c r="H9" s="16">
        <v>4</v>
      </c>
      <c r="I9" s="19" t="s">
        <v>17</v>
      </c>
      <c r="K9" s="111"/>
      <c r="L9" s="78" t="s">
        <v>83</v>
      </c>
      <c r="M9" s="4" t="s">
        <v>13</v>
      </c>
      <c r="N9" s="6">
        <v>4</v>
      </c>
      <c r="O9" s="8" t="s">
        <v>17</v>
      </c>
      <c r="P9" s="9" t="s">
        <v>83</v>
      </c>
      <c r="Q9" s="13" t="s">
        <v>13</v>
      </c>
      <c r="R9" s="16">
        <v>4</v>
      </c>
      <c r="S9" s="19" t="s">
        <v>17</v>
      </c>
      <c r="U9" s="1">
        <v>84</v>
      </c>
      <c r="V9" s="1">
        <v>13</v>
      </c>
      <c r="W9" s="1">
        <v>19</v>
      </c>
      <c r="X9" s="87">
        <f>V9*25.4</f>
        <v>330.2</v>
      </c>
      <c r="Y9" s="87">
        <f>W9*25.4</f>
        <v>482.59999999999997</v>
      </c>
      <c r="Z9" s="1">
        <v>31</v>
      </c>
      <c r="AA9" s="1">
        <v>43</v>
      </c>
      <c r="AB9" s="87">
        <f>Z9*25.4</f>
        <v>787.4</v>
      </c>
      <c r="AC9" s="87">
        <f>AA9*25.4</f>
        <v>1092.2</v>
      </c>
    </row>
    <row r="10" spans="1:29" x14ac:dyDescent="0.6">
      <c r="A10" s="125"/>
      <c r="B10" s="30" t="s">
        <v>8</v>
      </c>
      <c r="C10" s="5" t="s">
        <v>14</v>
      </c>
      <c r="D10" s="7">
        <v>2</v>
      </c>
      <c r="E10" s="10" t="s">
        <v>17</v>
      </c>
      <c r="F10" s="11" t="s">
        <v>8</v>
      </c>
      <c r="G10" s="14" t="s">
        <v>14</v>
      </c>
      <c r="H10" s="17">
        <v>2</v>
      </c>
      <c r="I10" s="20" t="s">
        <v>17</v>
      </c>
      <c r="K10" s="111"/>
      <c r="L10" s="79" t="s">
        <v>87</v>
      </c>
      <c r="M10" s="5" t="s">
        <v>14</v>
      </c>
      <c r="N10" s="7">
        <v>4</v>
      </c>
      <c r="O10" s="10" t="s">
        <v>17</v>
      </c>
      <c r="P10" s="11" t="s">
        <v>91</v>
      </c>
      <c r="Q10" s="14" t="s">
        <v>90</v>
      </c>
      <c r="R10" s="17">
        <v>4</v>
      </c>
      <c r="S10" s="20" t="s">
        <v>17</v>
      </c>
      <c r="U10" s="1">
        <v>85</v>
      </c>
      <c r="V10" s="1">
        <v>18</v>
      </c>
      <c r="W10" s="1">
        <v>12.5</v>
      </c>
      <c r="X10" s="87">
        <f t="shared" ref="X10:Y16" si="0">V10*25.4</f>
        <v>457.2</v>
      </c>
      <c r="Y10" s="87">
        <f t="shared" si="0"/>
        <v>317.5</v>
      </c>
      <c r="Z10" s="1">
        <v>36</v>
      </c>
      <c r="AA10" s="1">
        <v>25</v>
      </c>
      <c r="AB10" s="87">
        <f t="shared" ref="AB10:AC16" si="1">Z10*25.4</f>
        <v>914.4</v>
      </c>
      <c r="AC10" s="87">
        <f t="shared" si="1"/>
        <v>635</v>
      </c>
    </row>
    <row r="11" spans="1:29" x14ac:dyDescent="0.6">
      <c r="A11" s="58"/>
      <c r="B11" s="30" t="s">
        <v>9</v>
      </c>
      <c r="C11" s="5" t="s">
        <v>15</v>
      </c>
      <c r="D11" s="7">
        <v>2</v>
      </c>
      <c r="E11" s="10" t="s">
        <v>17</v>
      </c>
      <c r="F11" s="12" t="s">
        <v>9</v>
      </c>
      <c r="G11" s="15" t="s">
        <v>16</v>
      </c>
      <c r="H11" s="17" t="s">
        <v>17</v>
      </c>
      <c r="I11" s="21" t="s">
        <v>16</v>
      </c>
      <c r="K11" s="71"/>
      <c r="L11" s="79" t="s">
        <v>88</v>
      </c>
      <c r="M11" s="5" t="s">
        <v>15</v>
      </c>
      <c r="N11" s="7">
        <v>4</v>
      </c>
      <c r="O11" s="10" t="s">
        <v>17</v>
      </c>
      <c r="P11" s="12" t="s">
        <v>88</v>
      </c>
      <c r="Q11" s="15" t="s">
        <v>15</v>
      </c>
      <c r="R11" s="17">
        <v>4</v>
      </c>
      <c r="S11" s="20" t="s">
        <v>17</v>
      </c>
      <c r="U11" s="1">
        <v>86</v>
      </c>
      <c r="V11" s="1">
        <v>19</v>
      </c>
      <c r="W11" s="1">
        <v>13</v>
      </c>
      <c r="X11" s="87">
        <f t="shared" si="0"/>
        <v>482.59999999999997</v>
      </c>
      <c r="Y11" s="87">
        <f t="shared" si="0"/>
        <v>330.2</v>
      </c>
      <c r="Z11" s="1">
        <v>43</v>
      </c>
      <c r="AA11" s="1">
        <v>31</v>
      </c>
      <c r="AB11" s="87">
        <f t="shared" si="1"/>
        <v>1092.2</v>
      </c>
      <c r="AC11" s="87">
        <f t="shared" si="1"/>
        <v>787.4</v>
      </c>
    </row>
    <row r="12" spans="1:29" ht="21.6" thickBot="1" x14ac:dyDescent="0.65">
      <c r="A12" s="59"/>
      <c r="B12" s="31" t="s">
        <v>10</v>
      </c>
      <c r="C12" s="22" t="s">
        <v>16</v>
      </c>
      <c r="D12" s="23" t="s">
        <v>17</v>
      </c>
      <c r="E12" s="22" t="s">
        <v>16</v>
      </c>
      <c r="F12" s="24" t="s">
        <v>10</v>
      </c>
      <c r="G12" s="25" t="s">
        <v>16</v>
      </c>
      <c r="H12" s="26" t="s">
        <v>17</v>
      </c>
      <c r="I12" s="27" t="s">
        <v>19</v>
      </c>
      <c r="K12" s="72"/>
      <c r="L12" s="80" t="s">
        <v>89</v>
      </c>
      <c r="M12" s="22" t="s">
        <v>16</v>
      </c>
      <c r="N12" s="23">
        <v>4</v>
      </c>
      <c r="O12" s="22" t="s">
        <v>77</v>
      </c>
      <c r="P12" s="24" t="s">
        <v>93</v>
      </c>
      <c r="Q12" s="25" t="s">
        <v>92</v>
      </c>
      <c r="R12" s="26">
        <v>4</v>
      </c>
      <c r="S12" s="84" t="s">
        <v>17</v>
      </c>
      <c r="U12" s="1">
        <v>87</v>
      </c>
      <c r="V12" s="1">
        <v>12.5</v>
      </c>
      <c r="W12" s="1">
        <v>18</v>
      </c>
      <c r="X12" s="87">
        <f t="shared" si="0"/>
        <v>317.5</v>
      </c>
      <c r="Y12" s="87">
        <f t="shared" si="0"/>
        <v>457.2</v>
      </c>
      <c r="Z12" s="1">
        <v>25</v>
      </c>
      <c r="AA12" s="1">
        <v>36</v>
      </c>
      <c r="AB12" s="87">
        <f t="shared" si="1"/>
        <v>635</v>
      </c>
      <c r="AC12" s="87">
        <f t="shared" si="1"/>
        <v>914.4</v>
      </c>
    </row>
    <row r="13" spans="1:29" x14ac:dyDescent="0.6">
      <c r="A13" s="36" t="s">
        <v>46</v>
      </c>
      <c r="B13" s="126" t="s">
        <v>47</v>
      </c>
      <c r="C13" s="127"/>
      <c r="D13" s="53"/>
      <c r="E13" s="46"/>
      <c r="F13" s="46"/>
      <c r="G13" s="46"/>
      <c r="H13" s="53"/>
      <c r="I13" s="54"/>
      <c r="K13" s="36" t="s">
        <v>46</v>
      </c>
      <c r="L13" s="112" t="s">
        <v>95</v>
      </c>
      <c r="M13" s="113"/>
      <c r="N13" s="53"/>
      <c r="O13" s="46"/>
      <c r="P13" s="46"/>
      <c r="Q13" s="46"/>
      <c r="R13" s="53"/>
      <c r="S13" s="54"/>
      <c r="U13" s="1">
        <v>88</v>
      </c>
      <c r="V13" s="131">
        <v>13</v>
      </c>
      <c r="W13" s="131">
        <v>19</v>
      </c>
      <c r="X13" s="87">
        <f t="shared" si="0"/>
        <v>330.2</v>
      </c>
      <c r="Y13" s="87">
        <f t="shared" si="0"/>
        <v>482.59999999999997</v>
      </c>
      <c r="Z13" s="131">
        <v>31</v>
      </c>
      <c r="AA13" s="131">
        <v>43</v>
      </c>
      <c r="AB13" s="87">
        <f t="shared" si="1"/>
        <v>787.4</v>
      </c>
      <c r="AC13" s="87">
        <f t="shared" si="1"/>
        <v>1092.2</v>
      </c>
    </row>
    <row r="14" spans="1:29" x14ac:dyDescent="0.6">
      <c r="A14" s="60"/>
      <c r="B14" s="46" t="s">
        <v>48</v>
      </c>
      <c r="C14" s="46">
        <v>25</v>
      </c>
      <c r="D14" s="53" t="s">
        <v>52</v>
      </c>
      <c r="E14" s="46"/>
      <c r="F14" s="46"/>
      <c r="G14" s="46"/>
      <c r="H14" s="53"/>
      <c r="I14" s="54"/>
      <c r="K14" s="60"/>
      <c r="L14" s="46" t="s">
        <v>48</v>
      </c>
      <c r="M14" s="46">
        <v>15</v>
      </c>
      <c r="N14" s="53" t="s">
        <v>52</v>
      </c>
      <c r="O14" s="46"/>
      <c r="P14" s="46"/>
      <c r="Q14" s="46"/>
      <c r="R14" s="53"/>
      <c r="S14" s="54"/>
      <c r="U14" s="1">
        <v>89</v>
      </c>
      <c r="V14" s="1">
        <v>17.5</v>
      </c>
      <c r="W14" s="1">
        <v>12</v>
      </c>
      <c r="X14" s="87">
        <f t="shared" si="0"/>
        <v>444.5</v>
      </c>
      <c r="Y14" s="87">
        <f t="shared" si="0"/>
        <v>304.79999999999995</v>
      </c>
      <c r="Z14" s="1">
        <v>35</v>
      </c>
      <c r="AA14" s="1">
        <v>24</v>
      </c>
      <c r="AB14" s="87">
        <f t="shared" si="1"/>
        <v>889</v>
      </c>
      <c r="AC14" s="87">
        <f t="shared" si="1"/>
        <v>609.59999999999991</v>
      </c>
    </row>
    <row r="15" spans="1:29" x14ac:dyDescent="0.6">
      <c r="A15" s="60"/>
      <c r="B15" s="46" t="s">
        <v>49</v>
      </c>
      <c r="C15" s="46">
        <v>3</v>
      </c>
      <c r="D15" s="53" t="s">
        <v>52</v>
      </c>
      <c r="E15" s="46"/>
      <c r="F15" s="46"/>
      <c r="G15" s="46"/>
      <c r="H15" s="53"/>
      <c r="I15" s="54"/>
      <c r="K15" s="60"/>
      <c r="L15" s="46" t="s">
        <v>49</v>
      </c>
      <c r="M15" s="46">
        <v>3</v>
      </c>
      <c r="N15" s="53" t="s">
        <v>52</v>
      </c>
      <c r="O15" s="46"/>
      <c r="P15" s="46"/>
      <c r="Q15" s="46"/>
      <c r="R15" s="53"/>
      <c r="S15" s="54"/>
      <c r="U15" s="1">
        <v>90</v>
      </c>
      <c r="V15" s="1">
        <v>19</v>
      </c>
      <c r="W15" s="1">
        <v>13</v>
      </c>
      <c r="X15" s="87">
        <f t="shared" si="0"/>
        <v>482.59999999999997</v>
      </c>
      <c r="Y15" s="87">
        <f t="shared" si="0"/>
        <v>330.2</v>
      </c>
      <c r="Z15" s="1">
        <v>43</v>
      </c>
      <c r="AA15" s="1">
        <v>31</v>
      </c>
      <c r="AB15" s="87">
        <f t="shared" si="1"/>
        <v>1092.2</v>
      </c>
      <c r="AC15" s="87">
        <f t="shared" si="1"/>
        <v>787.4</v>
      </c>
    </row>
    <row r="16" spans="1:29" x14ac:dyDescent="0.6">
      <c r="A16" s="60"/>
      <c r="B16" s="46" t="s">
        <v>50</v>
      </c>
      <c r="C16" s="46">
        <v>4</v>
      </c>
      <c r="D16" s="53" t="s">
        <v>52</v>
      </c>
      <c r="E16" s="46"/>
      <c r="F16" s="46"/>
      <c r="G16" s="46"/>
      <c r="H16" s="53"/>
      <c r="I16" s="54"/>
      <c r="K16" s="60"/>
      <c r="L16" s="46" t="s">
        <v>50</v>
      </c>
      <c r="M16" s="46">
        <v>4</v>
      </c>
      <c r="N16" s="53" t="s">
        <v>52</v>
      </c>
      <c r="O16" s="46"/>
      <c r="P16" s="46"/>
      <c r="Q16" s="46"/>
      <c r="R16" s="53"/>
      <c r="S16" s="54"/>
      <c r="U16" s="1">
        <v>91</v>
      </c>
      <c r="V16" s="1">
        <v>12</v>
      </c>
      <c r="W16" s="1">
        <v>17.5</v>
      </c>
      <c r="X16" s="87">
        <f t="shared" si="0"/>
        <v>304.79999999999995</v>
      </c>
      <c r="Y16" s="87">
        <f t="shared" si="0"/>
        <v>444.5</v>
      </c>
      <c r="Z16" s="1">
        <v>24</v>
      </c>
      <c r="AA16" s="1">
        <v>35</v>
      </c>
      <c r="AB16" s="87">
        <f t="shared" si="1"/>
        <v>609.59999999999991</v>
      </c>
      <c r="AC16" s="87">
        <f t="shared" si="1"/>
        <v>889</v>
      </c>
    </row>
    <row r="17" spans="1:22" ht="21.6" thickBot="1" x14ac:dyDescent="0.65">
      <c r="A17" s="60"/>
      <c r="B17" s="46" t="s">
        <v>51</v>
      </c>
      <c r="C17" s="46">
        <v>3</v>
      </c>
      <c r="D17" s="53" t="s">
        <v>52</v>
      </c>
      <c r="E17" s="46"/>
      <c r="F17" s="46"/>
      <c r="G17" s="46"/>
      <c r="H17" s="53"/>
      <c r="I17" s="54"/>
      <c r="K17" s="60"/>
      <c r="L17" s="46" t="s">
        <v>51</v>
      </c>
      <c r="M17" s="46">
        <v>3</v>
      </c>
      <c r="N17" s="53" t="s">
        <v>52</v>
      </c>
      <c r="O17" s="46"/>
      <c r="P17" s="46"/>
      <c r="Q17" s="46"/>
      <c r="R17" s="53"/>
      <c r="S17" s="54"/>
    </row>
    <row r="18" spans="1:22" x14ac:dyDescent="0.6">
      <c r="A18" s="32" t="s">
        <v>21</v>
      </c>
      <c r="B18" s="40" t="s">
        <v>7</v>
      </c>
      <c r="C18" s="40">
        <v>4</v>
      </c>
      <c r="D18" s="40" t="s">
        <v>24</v>
      </c>
      <c r="E18" s="109" t="s">
        <v>42</v>
      </c>
      <c r="F18" s="109"/>
      <c r="G18" s="109"/>
      <c r="H18" s="40"/>
      <c r="I18" s="41"/>
      <c r="K18" s="32" t="s">
        <v>21</v>
      </c>
      <c r="L18" s="81" t="s">
        <v>96</v>
      </c>
      <c r="M18" s="40">
        <v>3</v>
      </c>
      <c r="N18" s="40" t="s">
        <v>24</v>
      </c>
      <c r="O18" s="109" t="s">
        <v>42</v>
      </c>
      <c r="P18" s="109"/>
      <c r="Q18" s="109"/>
      <c r="R18" s="40"/>
      <c r="S18" s="41"/>
    </row>
    <row r="19" spans="1:22" x14ac:dyDescent="0.6">
      <c r="A19" s="58"/>
      <c r="B19" s="46" t="s">
        <v>8</v>
      </c>
      <c r="C19" s="46">
        <v>5</v>
      </c>
      <c r="D19" s="46" t="s">
        <v>24</v>
      </c>
      <c r="E19" s="46" t="s">
        <v>34</v>
      </c>
      <c r="F19" s="55" t="s">
        <v>6</v>
      </c>
      <c r="G19" s="46" t="s">
        <v>37</v>
      </c>
      <c r="H19" s="46"/>
      <c r="I19" s="54"/>
      <c r="K19" s="58"/>
      <c r="L19" s="97" t="s">
        <v>97</v>
      </c>
      <c r="M19" s="87">
        <v>1</v>
      </c>
      <c r="N19" s="87" t="s">
        <v>24</v>
      </c>
      <c r="O19" s="46" t="s">
        <v>34</v>
      </c>
      <c r="P19" s="55" t="s">
        <v>6</v>
      </c>
      <c r="Q19" s="46"/>
      <c r="R19" s="46"/>
      <c r="S19" s="54"/>
    </row>
    <row r="20" spans="1:22" x14ac:dyDescent="0.6">
      <c r="A20" s="58"/>
      <c r="B20" s="46" t="s">
        <v>9</v>
      </c>
      <c r="C20" s="46">
        <v>6</v>
      </c>
      <c r="D20" s="46" t="s">
        <v>24</v>
      </c>
      <c r="E20" s="46"/>
      <c r="F20" s="46" t="s">
        <v>35</v>
      </c>
      <c r="G20" s="114" t="s">
        <v>78</v>
      </c>
      <c r="H20" s="114"/>
      <c r="I20" s="54"/>
      <c r="K20" s="58"/>
      <c r="L20" s="95" t="s">
        <v>98</v>
      </c>
      <c r="M20" s="46"/>
      <c r="N20" s="46"/>
      <c r="O20" s="46"/>
      <c r="P20" s="46" t="s">
        <v>35</v>
      </c>
      <c r="Q20" s="114" t="s">
        <v>84</v>
      </c>
      <c r="R20" s="114"/>
      <c r="S20" s="54"/>
    </row>
    <row r="21" spans="1:22" ht="21.6" thickBot="1" x14ac:dyDescent="0.65">
      <c r="A21" s="59"/>
      <c r="B21" s="42" t="s">
        <v>10</v>
      </c>
      <c r="C21" s="42">
        <v>7</v>
      </c>
      <c r="D21" s="42" t="s">
        <v>24</v>
      </c>
      <c r="E21" s="42"/>
      <c r="F21" s="42" t="s">
        <v>36</v>
      </c>
      <c r="G21" s="129" t="s">
        <v>78</v>
      </c>
      <c r="H21" s="129"/>
      <c r="I21" s="43"/>
      <c r="K21" s="58"/>
      <c r="L21" s="95" t="s">
        <v>99</v>
      </c>
      <c r="M21" s="46"/>
      <c r="N21" s="46"/>
      <c r="O21" s="46"/>
      <c r="P21" s="46" t="s">
        <v>36</v>
      </c>
      <c r="Q21" s="114" t="s">
        <v>84</v>
      </c>
      <c r="R21" s="114"/>
      <c r="S21" s="54"/>
    </row>
    <row r="22" spans="1:22" x14ac:dyDescent="0.6">
      <c r="A22" s="34" t="s">
        <v>25</v>
      </c>
      <c r="B22" s="56" t="s">
        <v>79</v>
      </c>
      <c r="C22" s="40">
        <v>20</v>
      </c>
      <c r="D22" s="40" t="s">
        <v>43</v>
      </c>
      <c r="E22" s="40"/>
      <c r="F22" s="40"/>
      <c r="G22" s="40"/>
      <c r="H22" s="40"/>
      <c r="I22" s="41"/>
      <c r="K22" s="58"/>
      <c r="L22" s="71"/>
      <c r="M22" s="46"/>
      <c r="N22" s="46"/>
      <c r="O22" s="46"/>
      <c r="P22" s="46"/>
      <c r="Q22" s="46"/>
      <c r="R22" s="46"/>
      <c r="S22" s="54"/>
    </row>
    <row r="23" spans="1:22" x14ac:dyDescent="0.6">
      <c r="A23" s="58"/>
      <c r="B23" s="55" t="s">
        <v>80</v>
      </c>
      <c r="C23" s="46">
        <v>30</v>
      </c>
      <c r="D23" s="46" t="s">
        <v>43</v>
      </c>
      <c r="E23" s="46"/>
      <c r="F23" s="46"/>
      <c r="G23" s="46"/>
      <c r="H23" s="46"/>
      <c r="I23" s="54"/>
      <c r="K23" s="58"/>
      <c r="L23" s="71"/>
      <c r="M23" s="46"/>
      <c r="N23" s="46"/>
      <c r="O23" s="46"/>
      <c r="P23" s="46"/>
      <c r="Q23" s="46"/>
      <c r="R23" s="46"/>
      <c r="S23" s="54"/>
    </row>
    <row r="24" spans="1:22" x14ac:dyDescent="0.6">
      <c r="A24" s="58"/>
      <c r="B24" s="55" t="s">
        <v>26</v>
      </c>
      <c r="C24" s="46">
        <v>40</v>
      </c>
      <c r="D24" s="46" t="s">
        <v>43</v>
      </c>
      <c r="E24" s="46"/>
      <c r="F24" s="46"/>
      <c r="G24" s="46"/>
      <c r="H24" s="46"/>
      <c r="I24" s="54"/>
      <c r="K24" s="58"/>
      <c r="L24" s="71"/>
      <c r="M24" s="46"/>
      <c r="N24" s="46"/>
      <c r="O24" s="46"/>
      <c r="P24" s="46"/>
      <c r="Q24" s="46"/>
      <c r="R24" s="46"/>
      <c r="S24" s="54"/>
    </row>
    <row r="25" spans="1:22" x14ac:dyDescent="0.6">
      <c r="A25" s="58"/>
      <c r="B25" s="55" t="s">
        <v>27</v>
      </c>
      <c r="C25" s="46">
        <v>50</v>
      </c>
      <c r="D25" s="46" t="s">
        <v>43</v>
      </c>
      <c r="E25" s="46"/>
      <c r="F25" s="46"/>
      <c r="G25" s="46"/>
      <c r="H25" s="46"/>
      <c r="I25" s="54"/>
      <c r="K25" s="58"/>
      <c r="L25" s="71"/>
      <c r="M25" s="46"/>
      <c r="N25" s="46"/>
      <c r="O25" s="46"/>
      <c r="P25" s="46"/>
      <c r="Q25" s="46"/>
      <c r="R25" s="46"/>
      <c r="S25" s="54"/>
    </row>
    <row r="26" spans="1:22" x14ac:dyDescent="0.6">
      <c r="A26" s="58"/>
      <c r="B26" s="55" t="s">
        <v>28</v>
      </c>
      <c r="C26" s="46">
        <v>70</v>
      </c>
      <c r="D26" s="46" t="s">
        <v>43</v>
      </c>
      <c r="E26" s="46"/>
      <c r="F26" s="46"/>
      <c r="G26" s="46"/>
      <c r="H26" s="46"/>
      <c r="I26" s="54"/>
      <c r="K26" s="58"/>
      <c r="L26" s="71"/>
      <c r="M26" s="46"/>
      <c r="N26" s="46"/>
      <c r="O26" s="46"/>
      <c r="P26" s="46"/>
      <c r="Q26" s="46"/>
      <c r="R26" s="46"/>
      <c r="S26" s="54"/>
      <c r="V26" s="1" t="s">
        <v>77</v>
      </c>
    </row>
    <row r="27" spans="1:22" x14ac:dyDescent="0.6">
      <c r="A27" s="58"/>
      <c r="B27" s="55" t="s">
        <v>29</v>
      </c>
      <c r="C27" s="46">
        <v>80</v>
      </c>
      <c r="D27" s="46" t="s">
        <v>43</v>
      </c>
      <c r="E27" s="46"/>
      <c r="F27" s="46"/>
      <c r="G27" s="46"/>
      <c r="H27" s="46"/>
      <c r="I27" s="54"/>
      <c r="K27" s="58"/>
      <c r="L27" s="71"/>
      <c r="M27" s="46"/>
      <c r="N27" s="46"/>
      <c r="O27" s="46"/>
      <c r="P27" s="46"/>
      <c r="Q27" s="46"/>
      <c r="R27" s="46"/>
      <c r="S27" s="54"/>
    </row>
    <row r="28" spans="1:22" x14ac:dyDescent="0.6">
      <c r="A28" s="58"/>
      <c r="B28" s="55" t="s">
        <v>30</v>
      </c>
      <c r="C28" s="46">
        <v>100</v>
      </c>
      <c r="D28" s="46" t="s">
        <v>43</v>
      </c>
      <c r="E28" s="46"/>
      <c r="F28" s="46"/>
      <c r="G28" s="46"/>
      <c r="H28" s="46"/>
      <c r="I28" s="54"/>
      <c r="K28" s="58"/>
      <c r="L28" s="71"/>
      <c r="M28" s="46"/>
      <c r="N28" s="46"/>
      <c r="O28" s="46"/>
      <c r="P28" s="46"/>
      <c r="Q28" s="46"/>
      <c r="R28" s="46"/>
      <c r="S28" s="54"/>
    </row>
    <row r="29" spans="1:22" x14ac:dyDescent="0.6">
      <c r="A29" s="58"/>
      <c r="B29" s="55" t="s">
        <v>31</v>
      </c>
      <c r="C29" s="46">
        <v>120</v>
      </c>
      <c r="D29" s="46" t="s">
        <v>43</v>
      </c>
      <c r="E29" s="46"/>
      <c r="F29" s="46"/>
      <c r="G29" s="46"/>
      <c r="H29" s="46"/>
      <c r="I29" s="54"/>
      <c r="K29" s="58"/>
      <c r="L29" s="71"/>
      <c r="M29" s="46"/>
      <c r="N29" s="46"/>
      <c r="O29" s="46"/>
      <c r="P29" s="46"/>
      <c r="Q29" s="46"/>
      <c r="R29" s="46"/>
      <c r="S29" s="54"/>
    </row>
    <row r="30" spans="1:22" ht="21.6" thickBot="1" x14ac:dyDescent="0.65">
      <c r="A30" s="59"/>
      <c r="B30" s="57" t="s">
        <v>81</v>
      </c>
      <c r="C30" s="42">
        <v>150</v>
      </c>
      <c r="D30" s="42" t="s">
        <v>43</v>
      </c>
      <c r="E30" s="42"/>
      <c r="F30" s="42"/>
      <c r="G30" s="42"/>
      <c r="H30" s="42"/>
      <c r="I30" s="43"/>
      <c r="K30" s="59"/>
      <c r="L30" s="72"/>
      <c r="M30" s="42"/>
      <c r="N30" s="42"/>
      <c r="O30" s="42"/>
      <c r="P30" s="42"/>
      <c r="Q30" s="42"/>
      <c r="R30" s="42"/>
      <c r="S30" s="43"/>
    </row>
    <row r="31" spans="1:22" ht="21.6" thickBot="1" x14ac:dyDescent="0.65">
      <c r="A31" s="35" t="s">
        <v>32</v>
      </c>
      <c r="B31" s="128" t="s">
        <v>33</v>
      </c>
      <c r="C31" s="128"/>
      <c r="D31" s="50"/>
      <c r="E31" s="50"/>
      <c r="F31" s="50"/>
      <c r="G31" s="50"/>
      <c r="H31" s="50"/>
      <c r="I31" s="52"/>
      <c r="K31" s="34" t="s">
        <v>25</v>
      </c>
      <c r="L31" s="89" t="s">
        <v>79</v>
      </c>
      <c r="M31" s="88">
        <v>5</v>
      </c>
      <c r="N31" s="88" t="s">
        <v>43</v>
      </c>
      <c r="O31" s="40"/>
      <c r="P31" s="40"/>
      <c r="Q31" s="40"/>
      <c r="R31" s="40"/>
      <c r="S31" s="41"/>
    </row>
    <row r="32" spans="1:22" ht="21.6" thickBot="1" x14ac:dyDescent="0.65">
      <c r="A32" s="33" t="s">
        <v>55</v>
      </c>
      <c r="B32" s="50" t="s">
        <v>56</v>
      </c>
      <c r="C32" s="50"/>
      <c r="D32" s="50"/>
      <c r="E32" s="50"/>
      <c r="F32" s="50"/>
      <c r="G32" s="50"/>
      <c r="H32" s="50"/>
      <c r="I32" s="52"/>
      <c r="K32" s="98"/>
      <c r="L32" s="90" t="s">
        <v>80</v>
      </c>
      <c r="M32" s="87">
        <v>10</v>
      </c>
      <c r="N32" s="87" t="s">
        <v>43</v>
      </c>
      <c r="O32" s="46"/>
      <c r="P32" s="46"/>
      <c r="Q32" s="46"/>
      <c r="R32" s="46"/>
      <c r="S32" s="54"/>
    </row>
    <row r="33" spans="1:19" ht="21.6" thickBot="1" x14ac:dyDescent="0.65">
      <c r="A33" s="33" t="s">
        <v>57</v>
      </c>
      <c r="B33" s="62" t="s">
        <v>56</v>
      </c>
      <c r="C33" s="50"/>
      <c r="D33" s="50"/>
      <c r="E33" s="50"/>
      <c r="F33" s="50"/>
      <c r="G33" s="50"/>
      <c r="H33" s="50"/>
      <c r="I33" s="52"/>
      <c r="K33" s="58"/>
      <c r="L33" s="90" t="s">
        <v>26</v>
      </c>
      <c r="M33" s="87">
        <v>20</v>
      </c>
      <c r="N33" s="87" t="s">
        <v>43</v>
      </c>
      <c r="O33" s="46"/>
      <c r="P33" s="46"/>
      <c r="Q33" s="46"/>
      <c r="R33" s="46"/>
      <c r="S33" s="54"/>
    </row>
    <row r="34" spans="1:19" ht="21.6" thickBot="1" x14ac:dyDescent="0.65">
      <c r="A34" s="33" t="s">
        <v>58</v>
      </c>
      <c r="B34" s="64" t="s">
        <v>59</v>
      </c>
      <c r="C34" s="65" t="s">
        <v>60</v>
      </c>
      <c r="D34" s="65" t="s">
        <v>61</v>
      </c>
      <c r="E34" s="65" t="s">
        <v>62</v>
      </c>
      <c r="F34" s="65" t="s">
        <v>63</v>
      </c>
      <c r="G34" s="66" t="s">
        <v>82</v>
      </c>
      <c r="H34" s="40"/>
      <c r="I34" s="41"/>
      <c r="K34" s="58"/>
      <c r="L34" s="90" t="s">
        <v>27</v>
      </c>
      <c r="M34" s="87">
        <v>30</v>
      </c>
      <c r="N34" s="87" t="s">
        <v>43</v>
      </c>
      <c r="O34" s="46"/>
      <c r="P34" s="46"/>
      <c r="Q34" s="46"/>
      <c r="R34" s="46"/>
      <c r="S34" s="54"/>
    </row>
    <row r="35" spans="1:19" x14ac:dyDescent="0.6">
      <c r="A35" s="58"/>
      <c r="B35" s="67">
        <v>1</v>
      </c>
      <c r="C35" s="63" t="s">
        <v>64</v>
      </c>
      <c r="D35" s="63">
        <v>1</v>
      </c>
      <c r="E35" s="63">
        <v>2000</v>
      </c>
      <c r="F35" s="63">
        <v>800</v>
      </c>
      <c r="G35" s="39">
        <v>0</v>
      </c>
      <c r="H35" s="46"/>
      <c r="I35" s="54"/>
      <c r="K35" s="58"/>
      <c r="L35" s="90" t="s">
        <v>28</v>
      </c>
      <c r="M35" s="87">
        <v>40</v>
      </c>
      <c r="N35" s="87" t="s">
        <v>43</v>
      </c>
      <c r="O35" s="46"/>
      <c r="P35" s="46"/>
      <c r="Q35" s="46"/>
      <c r="R35" s="46"/>
      <c r="S35" s="54"/>
    </row>
    <row r="36" spans="1:19" x14ac:dyDescent="0.6">
      <c r="A36" s="58"/>
      <c r="B36" s="67">
        <v>2</v>
      </c>
      <c r="C36" s="63" t="s">
        <v>65</v>
      </c>
      <c r="D36" s="63">
        <v>1</v>
      </c>
      <c r="E36" s="63">
        <v>2000</v>
      </c>
      <c r="F36" s="63">
        <v>700</v>
      </c>
      <c r="G36" s="39">
        <v>0</v>
      </c>
      <c r="H36" s="46"/>
      <c r="I36" s="54"/>
      <c r="K36" s="58"/>
      <c r="L36" s="90" t="s">
        <v>29</v>
      </c>
      <c r="M36" s="87">
        <v>50</v>
      </c>
      <c r="N36" s="87" t="s">
        <v>43</v>
      </c>
      <c r="O36" s="46"/>
      <c r="P36" s="46"/>
      <c r="Q36" s="46"/>
      <c r="R36" s="46"/>
      <c r="S36" s="54"/>
    </row>
    <row r="37" spans="1:19" x14ac:dyDescent="0.6">
      <c r="A37" s="58"/>
      <c r="B37" s="67">
        <v>3</v>
      </c>
      <c r="C37" s="63" t="s">
        <v>66</v>
      </c>
      <c r="D37" s="63">
        <v>1</v>
      </c>
      <c r="E37" s="63">
        <v>2000</v>
      </c>
      <c r="F37" s="63">
        <v>800</v>
      </c>
      <c r="G37" s="39">
        <v>0</v>
      </c>
      <c r="H37" s="46"/>
      <c r="I37" s="54"/>
      <c r="K37" s="58"/>
      <c r="L37" s="90" t="s">
        <v>30</v>
      </c>
      <c r="M37" s="87">
        <v>100</v>
      </c>
      <c r="N37" s="87" t="s">
        <v>43</v>
      </c>
      <c r="O37" s="46"/>
      <c r="P37" s="46"/>
      <c r="Q37" s="46"/>
      <c r="R37" s="46"/>
      <c r="S37" s="54"/>
    </row>
    <row r="38" spans="1:19" x14ac:dyDescent="0.6">
      <c r="A38" s="58"/>
      <c r="B38" s="67">
        <v>4</v>
      </c>
      <c r="C38" s="63" t="s">
        <v>64</v>
      </c>
      <c r="D38" s="63">
        <v>2001</v>
      </c>
      <c r="E38" s="63">
        <v>4000</v>
      </c>
      <c r="F38" s="63">
        <v>825</v>
      </c>
      <c r="G38" s="39">
        <v>0</v>
      </c>
      <c r="H38" s="46"/>
      <c r="I38" s="54"/>
      <c r="K38" s="58"/>
      <c r="L38" s="90" t="s">
        <v>31</v>
      </c>
      <c r="M38" s="87">
        <v>120</v>
      </c>
      <c r="N38" s="87" t="s">
        <v>43</v>
      </c>
      <c r="O38" s="46"/>
      <c r="P38" s="46"/>
      <c r="Q38" s="46"/>
      <c r="R38" s="46"/>
      <c r="S38" s="54"/>
    </row>
    <row r="39" spans="1:19" ht="21.6" thickBot="1" x14ac:dyDescent="0.65">
      <c r="A39" s="58"/>
      <c r="B39" s="67">
        <v>5</v>
      </c>
      <c r="C39" s="63" t="s">
        <v>65</v>
      </c>
      <c r="D39" s="63">
        <v>2001</v>
      </c>
      <c r="E39" s="63">
        <v>4000</v>
      </c>
      <c r="F39" s="63">
        <v>725</v>
      </c>
      <c r="G39" s="39">
        <v>0</v>
      </c>
      <c r="H39" s="46"/>
      <c r="I39" s="54"/>
      <c r="K39" s="59"/>
      <c r="L39" s="91" t="s">
        <v>81</v>
      </c>
      <c r="M39" s="92">
        <v>150</v>
      </c>
      <c r="N39" s="92" t="s">
        <v>43</v>
      </c>
      <c r="O39" s="42"/>
      <c r="P39" s="42"/>
      <c r="Q39" s="42"/>
      <c r="R39" s="42"/>
      <c r="S39" s="43"/>
    </row>
    <row r="40" spans="1:19" ht="21.6" thickBot="1" x14ac:dyDescent="0.65">
      <c r="A40" s="58"/>
      <c r="B40" s="67">
        <v>6</v>
      </c>
      <c r="C40" s="63" t="s">
        <v>66</v>
      </c>
      <c r="D40" s="63">
        <v>2001</v>
      </c>
      <c r="E40" s="63">
        <v>4000</v>
      </c>
      <c r="F40" s="63">
        <v>825</v>
      </c>
      <c r="G40" s="39">
        <v>0</v>
      </c>
      <c r="H40" s="46"/>
      <c r="I40" s="54"/>
      <c r="K40" s="35" t="s">
        <v>32</v>
      </c>
      <c r="L40" s="85" t="s">
        <v>33</v>
      </c>
      <c r="M40" s="85"/>
      <c r="N40" s="107" t="s">
        <v>86</v>
      </c>
      <c r="O40" s="50"/>
      <c r="P40" s="50"/>
      <c r="Q40" s="50"/>
      <c r="R40" s="50"/>
      <c r="S40" s="52"/>
    </row>
    <row r="41" spans="1:19" ht="21.6" thickBot="1" x14ac:dyDescent="0.65">
      <c r="A41" s="58"/>
      <c r="B41" s="67">
        <v>7</v>
      </c>
      <c r="C41" s="63" t="s">
        <v>64</v>
      </c>
      <c r="D41" s="63">
        <v>4001</v>
      </c>
      <c r="E41" s="63">
        <v>6000</v>
      </c>
      <c r="F41" s="63">
        <v>850</v>
      </c>
      <c r="G41" s="39">
        <v>0</v>
      </c>
      <c r="H41" s="46"/>
      <c r="I41" s="54"/>
      <c r="K41" s="33" t="s">
        <v>55</v>
      </c>
      <c r="L41" s="50" t="s">
        <v>56</v>
      </c>
      <c r="M41" s="50"/>
      <c r="N41" s="107" t="s">
        <v>86</v>
      </c>
      <c r="O41" s="50"/>
      <c r="P41" s="50"/>
      <c r="Q41" s="50"/>
      <c r="R41" s="50"/>
      <c r="S41" s="52"/>
    </row>
    <row r="42" spans="1:19" ht="21.6" thickBot="1" x14ac:dyDescent="0.65">
      <c r="A42" s="58"/>
      <c r="B42" s="67">
        <v>8</v>
      </c>
      <c r="C42" s="63" t="s">
        <v>65</v>
      </c>
      <c r="D42" s="63">
        <v>4001</v>
      </c>
      <c r="E42" s="63">
        <v>6000</v>
      </c>
      <c r="F42" s="63">
        <v>750</v>
      </c>
      <c r="G42" s="39">
        <v>0</v>
      </c>
      <c r="H42" s="46"/>
      <c r="I42" s="54"/>
      <c r="K42" s="33" t="s">
        <v>57</v>
      </c>
      <c r="L42" s="62" t="s">
        <v>56</v>
      </c>
      <c r="M42" s="50"/>
      <c r="N42" s="108" t="s">
        <v>86</v>
      </c>
      <c r="O42" s="50"/>
      <c r="P42" s="50"/>
      <c r="Q42" s="50"/>
      <c r="R42" s="50"/>
      <c r="S42" s="52"/>
    </row>
    <row r="43" spans="1:19" ht="21.6" thickBot="1" x14ac:dyDescent="0.65">
      <c r="A43" s="58"/>
      <c r="B43" s="67">
        <v>9</v>
      </c>
      <c r="C43" s="63" t="s">
        <v>66</v>
      </c>
      <c r="D43" s="63">
        <v>4001</v>
      </c>
      <c r="E43" s="63">
        <v>6000</v>
      </c>
      <c r="F43" s="63">
        <v>850</v>
      </c>
      <c r="G43" s="39">
        <v>0</v>
      </c>
      <c r="H43" s="46"/>
      <c r="I43" s="54"/>
      <c r="K43" s="33" t="s">
        <v>58</v>
      </c>
      <c r="L43" s="64" t="s">
        <v>59</v>
      </c>
      <c r="M43" s="65" t="s">
        <v>60</v>
      </c>
      <c r="N43" s="65" t="s">
        <v>61</v>
      </c>
      <c r="O43" s="65" t="s">
        <v>62</v>
      </c>
      <c r="P43" s="65" t="s">
        <v>63</v>
      </c>
      <c r="Q43" s="66" t="s">
        <v>85</v>
      </c>
      <c r="R43" s="40"/>
      <c r="S43" s="41"/>
    </row>
    <row r="44" spans="1:19" x14ac:dyDescent="0.6">
      <c r="A44" s="58"/>
      <c r="B44" s="67">
        <v>10</v>
      </c>
      <c r="C44" s="63" t="s">
        <v>64</v>
      </c>
      <c r="D44" s="63">
        <v>6001</v>
      </c>
      <c r="E44" s="63">
        <v>8000</v>
      </c>
      <c r="F44" s="63">
        <v>900</v>
      </c>
      <c r="G44" s="39">
        <v>0</v>
      </c>
      <c r="H44" s="46"/>
      <c r="I44" s="54"/>
      <c r="K44" s="75" t="s">
        <v>86</v>
      </c>
      <c r="L44" s="67">
        <v>1</v>
      </c>
      <c r="M44" s="63" t="s">
        <v>64</v>
      </c>
      <c r="N44" s="63">
        <v>1</v>
      </c>
      <c r="O44" s="63">
        <v>2000</v>
      </c>
      <c r="P44" s="63">
        <v>800</v>
      </c>
      <c r="Q44" s="39">
        <v>0</v>
      </c>
      <c r="R44" s="46"/>
      <c r="S44" s="54"/>
    </row>
    <row r="45" spans="1:19" x14ac:dyDescent="0.6">
      <c r="A45" s="58"/>
      <c r="B45" s="67">
        <v>11</v>
      </c>
      <c r="C45" s="63" t="s">
        <v>65</v>
      </c>
      <c r="D45" s="63">
        <v>6001</v>
      </c>
      <c r="E45" s="63">
        <v>8000</v>
      </c>
      <c r="F45" s="63">
        <v>775</v>
      </c>
      <c r="G45" s="39">
        <v>0</v>
      </c>
      <c r="H45" s="46"/>
      <c r="I45" s="54"/>
      <c r="K45" s="58"/>
      <c r="L45" s="67">
        <v>2</v>
      </c>
      <c r="M45" s="63" t="s">
        <v>65</v>
      </c>
      <c r="N45" s="63">
        <v>1</v>
      </c>
      <c r="O45" s="63">
        <v>2000</v>
      </c>
      <c r="P45" s="63">
        <v>700</v>
      </c>
      <c r="Q45" s="39">
        <v>0</v>
      </c>
      <c r="R45" s="46"/>
      <c r="S45" s="54"/>
    </row>
    <row r="46" spans="1:19" x14ac:dyDescent="0.6">
      <c r="A46" s="58"/>
      <c r="B46" s="67">
        <v>12</v>
      </c>
      <c r="C46" s="63" t="s">
        <v>66</v>
      </c>
      <c r="D46" s="63">
        <v>6001</v>
      </c>
      <c r="E46" s="63">
        <v>8000</v>
      </c>
      <c r="F46" s="63">
        <v>900</v>
      </c>
      <c r="G46" s="39">
        <v>0</v>
      </c>
      <c r="H46" s="46"/>
      <c r="I46" s="54"/>
      <c r="K46" s="58"/>
      <c r="L46" s="67">
        <v>3</v>
      </c>
      <c r="M46" s="63" t="s">
        <v>66</v>
      </c>
      <c r="N46" s="63">
        <v>1</v>
      </c>
      <c r="O46" s="63">
        <v>2000</v>
      </c>
      <c r="P46" s="63">
        <v>800</v>
      </c>
      <c r="Q46" s="39">
        <v>0</v>
      </c>
      <c r="R46" s="46"/>
      <c r="S46" s="54"/>
    </row>
    <row r="47" spans="1:19" x14ac:dyDescent="0.6">
      <c r="A47" s="58"/>
      <c r="B47" s="67">
        <v>13</v>
      </c>
      <c r="C47" s="63" t="s">
        <v>64</v>
      </c>
      <c r="D47" s="63">
        <v>8001</v>
      </c>
      <c r="E47" s="63">
        <v>1000000000</v>
      </c>
      <c r="F47" s="63">
        <v>950</v>
      </c>
      <c r="G47" s="39">
        <v>0</v>
      </c>
      <c r="H47" s="46"/>
      <c r="I47" s="54"/>
      <c r="K47" s="58"/>
      <c r="L47" s="67">
        <v>4</v>
      </c>
      <c r="M47" s="63" t="s">
        <v>64</v>
      </c>
      <c r="N47" s="63">
        <v>2001</v>
      </c>
      <c r="O47" s="63">
        <v>4000</v>
      </c>
      <c r="P47" s="63">
        <v>825</v>
      </c>
      <c r="Q47" s="39">
        <v>0</v>
      </c>
      <c r="R47" s="46"/>
      <c r="S47" s="54"/>
    </row>
    <row r="48" spans="1:19" x14ac:dyDescent="0.6">
      <c r="A48" s="58"/>
      <c r="B48" s="67">
        <v>14</v>
      </c>
      <c r="C48" s="63" t="s">
        <v>65</v>
      </c>
      <c r="D48" s="63">
        <v>8001</v>
      </c>
      <c r="E48" s="63">
        <v>1000000000</v>
      </c>
      <c r="F48" s="63">
        <v>800</v>
      </c>
      <c r="G48" s="39">
        <v>0</v>
      </c>
      <c r="H48" s="46"/>
      <c r="I48" s="54"/>
      <c r="K48" s="58"/>
      <c r="L48" s="67">
        <v>5</v>
      </c>
      <c r="M48" s="63" t="s">
        <v>65</v>
      </c>
      <c r="N48" s="63">
        <v>2001</v>
      </c>
      <c r="O48" s="63">
        <v>4000</v>
      </c>
      <c r="P48" s="63">
        <v>725</v>
      </c>
      <c r="Q48" s="39">
        <v>0</v>
      </c>
      <c r="R48" s="46"/>
      <c r="S48" s="54"/>
    </row>
    <row r="49" spans="1:19" x14ac:dyDescent="0.6">
      <c r="A49" s="58"/>
      <c r="B49" s="67">
        <v>15</v>
      </c>
      <c r="C49" s="63" t="s">
        <v>66</v>
      </c>
      <c r="D49" s="63">
        <v>8001</v>
      </c>
      <c r="E49" s="63">
        <v>1000000000</v>
      </c>
      <c r="F49" s="63">
        <v>950</v>
      </c>
      <c r="G49" s="39">
        <v>0</v>
      </c>
      <c r="H49" s="46"/>
      <c r="I49" s="54"/>
      <c r="K49" s="58"/>
      <c r="L49" s="67">
        <v>6</v>
      </c>
      <c r="M49" s="63" t="s">
        <v>66</v>
      </c>
      <c r="N49" s="63">
        <v>2001</v>
      </c>
      <c r="O49" s="63">
        <v>4000</v>
      </c>
      <c r="P49" s="63">
        <v>825</v>
      </c>
      <c r="Q49" s="39">
        <v>0</v>
      </c>
      <c r="R49" s="46"/>
      <c r="S49" s="54"/>
    </row>
    <row r="50" spans="1:19" x14ac:dyDescent="0.6">
      <c r="A50" s="58"/>
      <c r="B50" s="67">
        <v>16</v>
      </c>
      <c r="C50" s="63" t="s">
        <v>67</v>
      </c>
      <c r="D50" s="63">
        <v>1</v>
      </c>
      <c r="E50" s="63">
        <v>1000000000</v>
      </c>
      <c r="F50" s="63">
        <v>500</v>
      </c>
      <c r="G50" s="39">
        <v>300</v>
      </c>
      <c r="H50" s="46"/>
      <c r="I50" s="54"/>
      <c r="K50" s="58"/>
      <c r="L50" s="67">
        <v>7</v>
      </c>
      <c r="M50" s="63" t="s">
        <v>64</v>
      </c>
      <c r="N50" s="63">
        <v>4001</v>
      </c>
      <c r="O50" s="63">
        <v>6000</v>
      </c>
      <c r="P50" s="63">
        <v>850</v>
      </c>
      <c r="Q50" s="39">
        <v>0</v>
      </c>
      <c r="R50" s="46"/>
      <c r="S50" s="54"/>
    </row>
    <row r="51" spans="1:19" x14ac:dyDescent="0.6">
      <c r="A51" s="58"/>
      <c r="B51" s="67">
        <v>17</v>
      </c>
      <c r="C51" s="63" t="s">
        <v>68</v>
      </c>
      <c r="D51" s="63">
        <v>1</v>
      </c>
      <c r="E51" s="63">
        <v>1000000000</v>
      </c>
      <c r="F51" s="63">
        <v>1000</v>
      </c>
      <c r="G51" s="39">
        <v>500</v>
      </c>
      <c r="H51" s="46"/>
      <c r="I51" s="54"/>
      <c r="K51" s="58"/>
      <c r="L51" s="67">
        <v>8</v>
      </c>
      <c r="M51" s="63" t="s">
        <v>65</v>
      </c>
      <c r="N51" s="63">
        <v>4001</v>
      </c>
      <c r="O51" s="63">
        <v>6000</v>
      </c>
      <c r="P51" s="63">
        <v>750</v>
      </c>
      <c r="Q51" s="39">
        <v>0</v>
      </c>
      <c r="R51" s="46"/>
      <c r="S51" s="54"/>
    </row>
    <row r="52" spans="1:19" x14ac:dyDescent="0.6">
      <c r="A52" s="58"/>
      <c r="B52" s="67">
        <v>18</v>
      </c>
      <c r="C52" s="63" t="s">
        <v>69</v>
      </c>
      <c r="D52" s="63">
        <v>1</v>
      </c>
      <c r="E52" s="63">
        <v>1000000000</v>
      </c>
      <c r="F52" s="63">
        <v>1000</v>
      </c>
      <c r="G52" s="39">
        <v>500</v>
      </c>
      <c r="H52" s="46"/>
      <c r="I52" s="54"/>
      <c r="K52" s="58"/>
      <c r="L52" s="67">
        <v>9</v>
      </c>
      <c r="M52" s="63" t="s">
        <v>66</v>
      </c>
      <c r="N52" s="63">
        <v>4001</v>
      </c>
      <c r="O52" s="63">
        <v>6000</v>
      </c>
      <c r="P52" s="63">
        <v>850</v>
      </c>
      <c r="Q52" s="39">
        <v>0</v>
      </c>
      <c r="R52" s="46"/>
      <c r="S52" s="54"/>
    </row>
    <row r="53" spans="1:19" x14ac:dyDescent="0.6">
      <c r="A53" s="58"/>
      <c r="B53" s="67">
        <v>19</v>
      </c>
      <c r="C53" s="63" t="s">
        <v>70</v>
      </c>
      <c r="D53" s="63">
        <v>1</v>
      </c>
      <c r="E53" s="63">
        <v>1000000000</v>
      </c>
      <c r="F53" s="63">
        <v>1000</v>
      </c>
      <c r="G53" s="39">
        <v>500</v>
      </c>
      <c r="H53" s="46"/>
      <c r="I53" s="54"/>
      <c r="K53" s="58"/>
      <c r="L53" s="67">
        <v>10</v>
      </c>
      <c r="M53" s="63" t="s">
        <v>64</v>
      </c>
      <c r="N53" s="63">
        <v>6001</v>
      </c>
      <c r="O53" s="63">
        <v>8000</v>
      </c>
      <c r="P53" s="63">
        <v>900</v>
      </c>
      <c r="Q53" s="39">
        <v>0</v>
      </c>
      <c r="R53" s="46"/>
      <c r="S53" s="54"/>
    </row>
    <row r="54" spans="1:19" x14ac:dyDescent="0.6">
      <c r="A54" s="58"/>
      <c r="B54" s="67">
        <v>20</v>
      </c>
      <c r="C54" s="63" t="s">
        <v>71</v>
      </c>
      <c r="D54" s="63">
        <v>1</v>
      </c>
      <c r="E54" s="63">
        <v>1000000000</v>
      </c>
      <c r="F54" s="63">
        <v>200</v>
      </c>
      <c r="G54" s="39">
        <v>100</v>
      </c>
      <c r="H54" s="46"/>
      <c r="I54" s="54"/>
      <c r="K54" s="58"/>
      <c r="L54" s="67">
        <v>11</v>
      </c>
      <c r="M54" s="63" t="s">
        <v>65</v>
      </c>
      <c r="N54" s="63">
        <v>6001</v>
      </c>
      <c r="O54" s="63">
        <v>8000</v>
      </c>
      <c r="P54" s="63">
        <v>775</v>
      </c>
      <c r="Q54" s="39">
        <v>0</v>
      </c>
      <c r="R54" s="46"/>
      <c r="S54" s="54"/>
    </row>
    <row r="55" spans="1:19" x14ac:dyDescent="0.6">
      <c r="A55" s="58"/>
      <c r="B55" s="67">
        <v>21</v>
      </c>
      <c r="C55" s="63" t="s">
        <v>72</v>
      </c>
      <c r="D55" s="63">
        <v>1</v>
      </c>
      <c r="E55" s="63">
        <v>1000000000</v>
      </c>
      <c r="F55" s="63">
        <v>1500</v>
      </c>
      <c r="G55" s="39">
        <v>300</v>
      </c>
      <c r="H55" s="46"/>
      <c r="I55" s="54"/>
      <c r="K55" s="58"/>
      <c r="L55" s="67">
        <v>12</v>
      </c>
      <c r="M55" s="63" t="s">
        <v>66</v>
      </c>
      <c r="N55" s="63">
        <v>6001</v>
      </c>
      <c r="O55" s="63">
        <v>8000</v>
      </c>
      <c r="P55" s="63">
        <v>900</v>
      </c>
      <c r="Q55" s="39">
        <v>0</v>
      </c>
      <c r="R55" s="46"/>
      <c r="S55" s="54"/>
    </row>
    <row r="56" spans="1:19" x14ac:dyDescent="0.6">
      <c r="A56" s="58"/>
      <c r="B56" s="67">
        <v>22</v>
      </c>
      <c r="C56" s="63" t="s">
        <v>73</v>
      </c>
      <c r="D56" s="63">
        <v>1</v>
      </c>
      <c r="E56" s="63">
        <v>1000000000</v>
      </c>
      <c r="F56" s="63">
        <v>2000</v>
      </c>
      <c r="G56" s="39">
        <v>400</v>
      </c>
      <c r="H56" s="46"/>
      <c r="I56" s="54"/>
      <c r="K56" s="58"/>
      <c r="L56" s="67">
        <v>13</v>
      </c>
      <c r="M56" s="63" t="s">
        <v>64</v>
      </c>
      <c r="N56" s="63">
        <v>8001</v>
      </c>
      <c r="O56" s="63">
        <v>1000000000</v>
      </c>
      <c r="P56" s="63">
        <v>950</v>
      </c>
      <c r="Q56" s="39">
        <v>0</v>
      </c>
      <c r="R56" s="46"/>
      <c r="S56" s="54"/>
    </row>
    <row r="57" spans="1:19" x14ac:dyDescent="0.6">
      <c r="A57" s="58"/>
      <c r="B57" s="67">
        <v>23</v>
      </c>
      <c r="C57" s="63" t="s">
        <v>74</v>
      </c>
      <c r="D57" s="63">
        <v>1</v>
      </c>
      <c r="E57" s="63">
        <v>1000000000</v>
      </c>
      <c r="F57" s="63">
        <v>3000</v>
      </c>
      <c r="G57" s="39">
        <v>500</v>
      </c>
      <c r="H57" s="46"/>
      <c r="I57" s="54"/>
      <c r="K57" s="58"/>
      <c r="L57" s="67">
        <v>14</v>
      </c>
      <c r="M57" s="63" t="s">
        <v>65</v>
      </c>
      <c r="N57" s="63">
        <v>8001</v>
      </c>
      <c r="O57" s="63">
        <v>1000000000</v>
      </c>
      <c r="P57" s="63">
        <v>800</v>
      </c>
      <c r="Q57" s="39">
        <v>0</v>
      </c>
      <c r="R57" s="46"/>
      <c r="S57" s="54"/>
    </row>
    <row r="58" spans="1:19" x14ac:dyDescent="0.6">
      <c r="A58" s="58"/>
      <c r="B58" s="67">
        <v>24</v>
      </c>
      <c r="C58" s="63" t="s">
        <v>75</v>
      </c>
      <c r="D58" s="63">
        <v>1</v>
      </c>
      <c r="E58" s="63">
        <v>1000000000</v>
      </c>
      <c r="F58" s="63">
        <v>600</v>
      </c>
      <c r="G58" s="39">
        <v>100</v>
      </c>
      <c r="H58" s="46"/>
      <c r="I58" s="54"/>
      <c r="K58" s="58"/>
      <c r="L58" s="67">
        <v>15</v>
      </c>
      <c r="M58" s="63" t="s">
        <v>66</v>
      </c>
      <c r="N58" s="63">
        <v>8001</v>
      </c>
      <c r="O58" s="63">
        <v>1000000000</v>
      </c>
      <c r="P58" s="63">
        <v>950</v>
      </c>
      <c r="Q58" s="39">
        <v>0</v>
      </c>
      <c r="R58" s="46"/>
      <c r="S58" s="54"/>
    </row>
    <row r="59" spans="1:19" ht="21.6" thickBot="1" x14ac:dyDescent="0.65">
      <c r="A59" s="59"/>
      <c r="B59" s="68">
        <v>25</v>
      </c>
      <c r="C59" s="69" t="s">
        <v>76</v>
      </c>
      <c r="D59" s="69">
        <v>1</v>
      </c>
      <c r="E59" s="69">
        <v>1000000000</v>
      </c>
      <c r="F59" s="69">
        <v>0</v>
      </c>
      <c r="G59" s="70">
        <v>0</v>
      </c>
      <c r="H59" s="42"/>
      <c r="I59" s="43"/>
      <c r="K59" s="58"/>
      <c r="L59" s="67">
        <v>16</v>
      </c>
      <c r="M59" s="63" t="s">
        <v>67</v>
      </c>
      <c r="N59" s="63">
        <v>1</v>
      </c>
      <c r="O59" s="63">
        <v>1000000000</v>
      </c>
      <c r="P59" s="63">
        <v>500</v>
      </c>
      <c r="Q59" s="39">
        <v>300</v>
      </c>
      <c r="R59" s="46"/>
      <c r="S59" s="54"/>
    </row>
    <row r="60" spans="1:19" x14ac:dyDescent="0.6">
      <c r="A60" s="46"/>
      <c r="B60" s="46"/>
      <c r="C60" s="46"/>
      <c r="D60" s="46"/>
      <c r="E60" s="46"/>
      <c r="F60" s="46"/>
      <c r="G60" s="46"/>
      <c r="H60" s="46"/>
      <c r="I60" s="46"/>
      <c r="K60" s="58"/>
      <c r="L60" s="93">
        <v>17</v>
      </c>
      <c r="M60" s="94" t="s">
        <v>68</v>
      </c>
      <c r="N60" s="94">
        <v>1</v>
      </c>
      <c r="O60" s="94">
        <v>1000000000</v>
      </c>
      <c r="P60" s="94">
        <v>1000</v>
      </c>
      <c r="Q60" s="39">
        <v>500</v>
      </c>
      <c r="R60" s="46"/>
      <c r="S60" s="54"/>
    </row>
    <row r="61" spans="1:19" x14ac:dyDescent="0.6">
      <c r="K61" s="58"/>
      <c r="L61" s="67">
        <v>18</v>
      </c>
      <c r="M61" s="63" t="s">
        <v>69</v>
      </c>
      <c r="N61" s="63">
        <v>1</v>
      </c>
      <c r="O61" s="63">
        <v>1000000000</v>
      </c>
      <c r="P61" s="63">
        <v>1000</v>
      </c>
      <c r="Q61" s="39">
        <v>500</v>
      </c>
      <c r="R61" s="46"/>
      <c r="S61" s="54"/>
    </row>
    <row r="62" spans="1:19" x14ac:dyDescent="0.6">
      <c r="K62" s="58"/>
      <c r="L62" s="67">
        <v>19</v>
      </c>
      <c r="M62" s="63" t="s">
        <v>70</v>
      </c>
      <c r="N62" s="63">
        <v>1</v>
      </c>
      <c r="O62" s="63">
        <v>1000000000</v>
      </c>
      <c r="P62" s="63">
        <v>1000</v>
      </c>
      <c r="Q62" s="39">
        <v>500</v>
      </c>
      <c r="R62" s="46"/>
      <c r="S62" s="54"/>
    </row>
    <row r="63" spans="1:19" x14ac:dyDescent="0.6">
      <c r="K63" s="58"/>
      <c r="L63" s="67">
        <v>20</v>
      </c>
      <c r="M63" s="63" t="s">
        <v>71</v>
      </c>
      <c r="N63" s="63">
        <v>1</v>
      </c>
      <c r="O63" s="63">
        <v>1000000000</v>
      </c>
      <c r="P63" s="63">
        <v>200</v>
      </c>
      <c r="Q63" s="39">
        <v>100</v>
      </c>
      <c r="R63" s="46"/>
      <c r="S63" s="54"/>
    </row>
    <row r="64" spans="1:19" x14ac:dyDescent="0.6">
      <c r="K64" s="58"/>
      <c r="L64" s="67">
        <v>21</v>
      </c>
      <c r="M64" s="63" t="s">
        <v>72</v>
      </c>
      <c r="N64" s="63">
        <v>1</v>
      </c>
      <c r="O64" s="63">
        <v>1000000000</v>
      </c>
      <c r="P64" s="63">
        <v>1500</v>
      </c>
      <c r="Q64" s="39">
        <v>300</v>
      </c>
      <c r="R64" s="46"/>
      <c r="S64" s="54"/>
    </row>
    <row r="65" spans="11:19" x14ac:dyDescent="0.6">
      <c r="K65" s="58"/>
      <c r="L65" s="67">
        <v>22</v>
      </c>
      <c r="M65" s="63" t="s">
        <v>73</v>
      </c>
      <c r="N65" s="63">
        <v>1</v>
      </c>
      <c r="O65" s="63">
        <v>1000000000</v>
      </c>
      <c r="P65" s="63">
        <v>2000</v>
      </c>
      <c r="Q65" s="39">
        <v>400</v>
      </c>
      <c r="R65" s="46"/>
      <c r="S65" s="54"/>
    </row>
    <row r="66" spans="11:19" x14ac:dyDescent="0.6">
      <c r="K66" s="58"/>
      <c r="L66" s="67">
        <v>23</v>
      </c>
      <c r="M66" s="63" t="s">
        <v>74</v>
      </c>
      <c r="N66" s="63">
        <v>1</v>
      </c>
      <c r="O66" s="63">
        <v>1000000000</v>
      </c>
      <c r="P66" s="63">
        <v>3000</v>
      </c>
      <c r="Q66" s="39">
        <v>500</v>
      </c>
      <c r="R66" s="46"/>
      <c r="S66" s="54"/>
    </row>
    <row r="67" spans="11:19" x14ac:dyDescent="0.6">
      <c r="K67" s="58"/>
      <c r="L67" s="93">
        <v>24</v>
      </c>
      <c r="M67" s="94" t="s">
        <v>75</v>
      </c>
      <c r="N67" s="94">
        <v>1</v>
      </c>
      <c r="O67" s="94">
        <v>1000000000</v>
      </c>
      <c r="P67" s="94">
        <v>600</v>
      </c>
      <c r="Q67" s="39">
        <v>100</v>
      </c>
      <c r="R67" s="46"/>
      <c r="S67" s="54"/>
    </row>
    <row r="68" spans="11:19" ht="21.6" thickBot="1" x14ac:dyDescent="0.65">
      <c r="K68" s="59"/>
      <c r="L68" s="68">
        <v>25</v>
      </c>
      <c r="M68" s="69" t="s">
        <v>76</v>
      </c>
      <c r="N68" s="69">
        <v>1</v>
      </c>
      <c r="O68" s="69">
        <v>1000000000</v>
      </c>
      <c r="P68" s="69">
        <v>0</v>
      </c>
      <c r="Q68" s="70">
        <v>0</v>
      </c>
      <c r="R68" s="42"/>
      <c r="S68" s="43"/>
    </row>
    <row r="69" spans="11:19" x14ac:dyDescent="0.6">
      <c r="K69" s="105" t="s">
        <v>100</v>
      </c>
      <c r="L69" s="99" t="s">
        <v>101</v>
      </c>
      <c r="M69" s="99" t="s">
        <v>102</v>
      </c>
      <c r="N69" s="86"/>
      <c r="O69" s="40"/>
      <c r="P69" s="40"/>
      <c r="Q69" s="109" t="s">
        <v>42</v>
      </c>
      <c r="R69" s="109"/>
      <c r="S69" s="110"/>
    </row>
    <row r="70" spans="11:19" x14ac:dyDescent="0.6">
      <c r="K70" s="71"/>
      <c r="L70" s="100" t="s">
        <v>103</v>
      </c>
      <c r="M70" s="100" t="s">
        <v>101</v>
      </c>
      <c r="N70" s="96" t="s">
        <v>104</v>
      </c>
      <c r="O70" s="100"/>
      <c r="P70" s="100"/>
      <c r="Q70" s="100"/>
      <c r="R70" s="46"/>
      <c r="S70" s="54"/>
    </row>
    <row r="71" spans="11:19" x14ac:dyDescent="0.6">
      <c r="K71" s="71"/>
      <c r="L71" s="46"/>
      <c r="M71" s="46"/>
      <c r="N71" s="46"/>
      <c r="O71" s="46"/>
      <c r="P71" s="46"/>
      <c r="Q71" s="46"/>
      <c r="R71" s="46"/>
      <c r="S71" s="54"/>
    </row>
    <row r="72" spans="11:19" x14ac:dyDescent="0.6">
      <c r="K72" s="71"/>
      <c r="L72" s="46"/>
      <c r="M72" s="46"/>
      <c r="N72" s="46"/>
      <c r="O72" s="46"/>
      <c r="P72" s="46"/>
      <c r="Q72" s="46"/>
      <c r="R72" s="46"/>
      <c r="S72" s="54"/>
    </row>
    <row r="73" spans="11:19" x14ac:dyDescent="0.6">
      <c r="K73" s="71"/>
      <c r="L73" s="46"/>
      <c r="M73" s="46"/>
      <c r="N73" s="46"/>
      <c r="O73" s="46"/>
      <c r="P73" s="46"/>
      <c r="Q73" s="46"/>
      <c r="R73" s="46"/>
      <c r="S73" s="54"/>
    </row>
    <row r="74" spans="11:19" x14ac:dyDescent="0.6">
      <c r="K74" s="71"/>
      <c r="L74" s="46"/>
      <c r="M74" s="46"/>
      <c r="N74" s="46"/>
      <c r="O74" s="46"/>
      <c r="P74" s="46"/>
      <c r="Q74" s="46"/>
      <c r="R74" s="46"/>
      <c r="S74" s="54"/>
    </row>
    <row r="75" spans="11:19" x14ac:dyDescent="0.6">
      <c r="K75" s="71"/>
      <c r="L75" s="46"/>
      <c r="M75" s="46"/>
      <c r="N75" s="46"/>
      <c r="O75" s="46"/>
      <c r="P75" s="46"/>
      <c r="Q75" s="46"/>
      <c r="R75" s="46"/>
      <c r="S75" s="54"/>
    </row>
    <row r="76" spans="11:19" x14ac:dyDescent="0.6">
      <c r="K76" s="71"/>
      <c r="L76" s="46"/>
      <c r="M76" s="46"/>
      <c r="N76" s="46"/>
      <c r="O76" s="46"/>
      <c r="P76" s="46"/>
      <c r="Q76" s="46"/>
      <c r="R76" s="46"/>
      <c r="S76" s="54"/>
    </row>
    <row r="77" spans="11:19" x14ac:dyDescent="0.6">
      <c r="K77" s="71"/>
      <c r="L77" s="46"/>
      <c r="M77" s="46"/>
      <c r="N77" s="46"/>
      <c r="O77" s="46"/>
      <c r="P77" s="46"/>
      <c r="Q77" s="46"/>
      <c r="R77" s="46"/>
      <c r="S77" s="54"/>
    </row>
    <row r="78" spans="11:19" x14ac:dyDescent="0.6">
      <c r="K78" s="71"/>
      <c r="L78" s="46"/>
      <c r="M78" s="46"/>
      <c r="N78" s="46"/>
      <c r="O78" s="46"/>
      <c r="P78" s="46"/>
      <c r="Q78" s="46"/>
      <c r="R78" s="46"/>
      <c r="S78" s="54"/>
    </row>
    <row r="79" spans="11:19" x14ac:dyDescent="0.6">
      <c r="K79" s="71"/>
      <c r="L79" s="46"/>
      <c r="M79" s="46"/>
      <c r="N79" s="46"/>
      <c r="O79" s="46"/>
      <c r="P79" s="46"/>
      <c r="Q79" s="46"/>
      <c r="R79" s="46"/>
      <c r="S79" s="54"/>
    </row>
    <row r="80" spans="11:19" x14ac:dyDescent="0.6">
      <c r="K80" s="71"/>
      <c r="L80" s="46"/>
      <c r="M80" s="46"/>
      <c r="N80" s="46"/>
      <c r="O80" s="46"/>
      <c r="P80" s="46"/>
      <c r="Q80" s="46"/>
      <c r="R80" s="46"/>
      <c r="S80" s="54"/>
    </row>
    <row r="81" spans="11:19" x14ac:dyDescent="0.6">
      <c r="K81" s="71"/>
      <c r="L81" s="46"/>
      <c r="M81" s="46"/>
      <c r="N81" s="46"/>
      <c r="O81" s="46"/>
      <c r="P81" s="46"/>
      <c r="Q81" s="46"/>
      <c r="R81" s="46"/>
      <c r="S81" s="54"/>
    </row>
    <row r="82" spans="11:19" x14ac:dyDescent="0.6">
      <c r="K82" s="71"/>
      <c r="L82" s="46"/>
      <c r="M82" s="46"/>
      <c r="N82" s="46"/>
      <c r="O82" s="46"/>
      <c r="P82" s="46"/>
      <c r="Q82" s="46"/>
      <c r="R82" s="46"/>
      <c r="S82" s="54"/>
    </row>
    <row r="83" spans="11:19" ht="21.6" thickBot="1" x14ac:dyDescent="0.65">
      <c r="K83" s="72"/>
      <c r="L83" s="42"/>
      <c r="M83" s="42"/>
      <c r="N83" s="42"/>
      <c r="O83" s="42"/>
      <c r="P83" s="42"/>
      <c r="Q83" s="42"/>
      <c r="R83" s="42"/>
      <c r="S83" s="43"/>
    </row>
  </sheetData>
  <mergeCells count="25">
    <mergeCell ref="U7:AC7"/>
    <mergeCell ref="A1:I1"/>
    <mergeCell ref="B7:E7"/>
    <mergeCell ref="F7:I7"/>
    <mergeCell ref="C6:D6"/>
    <mergeCell ref="C4:D4"/>
    <mergeCell ref="C5:D5"/>
    <mergeCell ref="A9:A10"/>
    <mergeCell ref="B13:C13"/>
    <mergeCell ref="E18:G18"/>
    <mergeCell ref="B31:C31"/>
    <mergeCell ref="G20:H20"/>
    <mergeCell ref="G21:H21"/>
    <mergeCell ref="K1:S1"/>
    <mergeCell ref="M4:N4"/>
    <mergeCell ref="M5:N5"/>
    <mergeCell ref="L7:O7"/>
    <mergeCell ref="P7:S7"/>
    <mergeCell ref="M6:N6"/>
    <mergeCell ref="Q69:S69"/>
    <mergeCell ref="K9:K10"/>
    <mergeCell ref="L13:M13"/>
    <mergeCell ref="O18:Q18"/>
    <mergeCell ref="Q20:R20"/>
    <mergeCell ref="Q21:R2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211B-A76F-4E06-BF73-9C7D45322D64}">
  <dimension ref="A1:L246"/>
  <sheetViews>
    <sheetView workbookViewId="0">
      <selection activeCell="G14" sqref="G14"/>
    </sheetView>
  </sheetViews>
  <sheetFormatPr defaultColWidth="8.77734375" defaultRowHeight="21" x14ac:dyDescent="0.6"/>
  <cols>
    <col min="1" max="1" width="11" style="37" customWidth="1"/>
    <col min="2" max="3" width="11.88671875" style="37" customWidth="1"/>
    <col min="4" max="5" width="15.6640625" style="37" customWidth="1"/>
    <col min="6" max="6" width="10.44140625" style="37" bestFit="1" customWidth="1"/>
    <col min="7" max="7" width="8.77734375" style="37"/>
    <col min="8" max="8" width="10.44140625" style="37" customWidth="1"/>
    <col min="9" max="9" width="17.6640625" style="37" bestFit="1" customWidth="1"/>
    <col min="10" max="12" width="8.77734375" style="37"/>
    <col min="13" max="13" width="10.109375" style="37" bestFit="1" customWidth="1"/>
    <col min="14" max="16384" width="8.77734375" style="37"/>
  </cols>
  <sheetData>
    <row r="1" spans="1:12" x14ac:dyDescent="0.6">
      <c r="A1" s="103" t="s">
        <v>105</v>
      </c>
      <c r="B1" s="104"/>
      <c r="C1" s="104"/>
      <c r="D1" s="74"/>
      <c r="E1" s="74"/>
      <c r="F1" s="74"/>
    </row>
    <row r="2" spans="1:12" x14ac:dyDescent="0.6">
      <c r="A2" s="74" t="s">
        <v>112</v>
      </c>
      <c r="B2" s="74"/>
      <c r="C2" s="74"/>
      <c r="D2" s="74"/>
      <c r="E2" s="74"/>
      <c r="F2" s="74"/>
    </row>
    <row r="3" spans="1:12" x14ac:dyDescent="0.6">
      <c r="A3" s="74" t="s">
        <v>117</v>
      </c>
      <c r="B3" s="74"/>
      <c r="C3" s="74"/>
      <c r="D3" s="74"/>
      <c r="E3" s="74"/>
      <c r="F3" s="74"/>
    </row>
    <row r="4" spans="1:12" s="1" customFormat="1" x14ac:dyDescent="0.6">
      <c r="A4" s="39" t="s">
        <v>107</v>
      </c>
      <c r="B4" s="39" t="s">
        <v>108</v>
      </c>
      <c r="C4" s="39" t="s">
        <v>109</v>
      </c>
      <c r="D4" s="39" t="s">
        <v>110</v>
      </c>
      <c r="E4" s="39" t="s">
        <v>111</v>
      </c>
      <c r="F4" s="39" t="s">
        <v>106</v>
      </c>
      <c r="L4" s="102"/>
    </row>
    <row r="5" spans="1:12" x14ac:dyDescent="0.6">
      <c r="A5" s="63" t="s">
        <v>113</v>
      </c>
      <c r="B5" s="63" t="s">
        <v>114</v>
      </c>
      <c r="C5" s="63">
        <v>70</v>
      </c>
      <c r="D5" s="63">
        <v>70</v>
      </c>
      <c r="E5" s="63">
        <v>7.0000000000000007E-2</v>
      </c>
      <c r="F5" s="63">
        <v>6</v>
      </c>
      <c r="J5" s="101"/>
      <c r="L5" s="101"/>
    </row>
    <row r="6" spans="1:12" x14ac:dyDescent="0.6">
      <c r="A6" s="63" t="s">
        <v>113</v>
      </c>
      <c r="B6" s="63" t="s">
        <v>115</v>
      </c>
      <c r="C6" s="63">
        <v>70</v>
      </c>
      <c r="D6" s="63">
        <v>70</v>
      </c>
      <c r="E6" s="63">
        <v>7.0000000000000007E-2</v>
      </c>
      <c r="F6" s="63">
        <v>6</v>
      </c>
      <c r="J6" s="101"/>
      <c r="L6" s="101"/>
    </row>
    <row r="7" spans="1:12" x14ac:dyDescent="0.6">
      <c r="A7" s="63" t="s">
        <v>113</v>
      </c>
      <c r="B7" s="63" t="s">
        <v>116</v>
      </c>
      <c r="C7" s="63">
        <v>70</v>
      </c>
      <c r="D7" s="63">
        <v>70</v>
      </c>
      <c r="E7" s="63">
        <v>7.0000000000000007E-2</v>
      </c>
      <c r="F7" s="63">
        <v>8</v>
      </c>
      <c r="J7" s="101"/>
      <c r="L7" s="101"/>
    </row>
    <row r="8" spans="1:12" x14ac:dyDescent="0.6">
      <c r="J8" s="101"/>
      <c r="L8" s="101"/>
    </row>
    <row r="9" spans="1:12" x14ac:dyDescent="0.6">
      <c r="J9" s="101"/>
      <c r="L9" s="101"/>
    </row>
    <row r="10" spans="1:12" x14ac:dyDescent="0.6">
      <c r="J10" s="101"/>
      <c r="L10" s="101"/>
    </row>
    <row r="11" spans="1:12" x14ac:dyDescent="0.6">
      <c r="J11" s="101"/>
      <c r="L11" s="101"/>
    </row>
    <row r="12" spans="1:12" x14ac:dyDescent="0.6">
      <c r="J12" s="101"/>
      <c r="L12" s="101"/>
    </row>
    <row r="13" spans="1:12" x14ac:dyDescent="0.6">
      <c r="J13" s="101"/>
      <c r="L13" s="101"/>
    </row>
    <row r="14" spans="1:12" x14ac:dyDescent="0.6">
      <c r="J14" s="101"/>
      <c r="L14" s="101"/>
    </row>
    <row r="15" spans="1:12" x14ac:dyDescent="0.6">
      <c r="J15" s="101"/>
      <c r="L15" s="101"/>
    </row>
    <row r="16" spans="1:12" x14ac:dyDescent="0.6">
      <c r="J16" s="101"/>
      <c r="L16" s="101"/>
    </row>
    <row r="17" spans="10:12" x14ac:dyDescent="0.6">
      <c r="J17" s="101"/>
      <c r="L17" s="101"/>
    </row>
    <row r="18" spans="10:12" x14ac:dyDescent="0.6">
      <c r="J18" s="101"/>
      <c r="L18" s="101"/>
    </row>
    <row r="19" spans="10:12" x14ac:dyDescent="0.6">
      <c r="J19" s="101"/>
      <c r="L19" s="101"/>
    </row>
    <row r="20" spans="10:12" x14ac:dyDescent="0.6">
      <c r="J20" s="101"/>
      <c r="L20" s="101"/>
    </row>
    <row r="21" spans="10:12" x14ac:dyDescent="0.6">
      <c r="J21" s="101"/>
      <c r="L21" s="101"/>
    </row>
    <row r="22" spans="10:12" x14ac:dyDescent="0.6">
      <c r="J22" s="101"/>
      <c r="L22" s="101"/>
    </row>
    <row r="23" spans="10:12" x14ac:dyDescent="0.6">
      <c r="J23" s="101"/>
      <c r="L23" s="101"/>
    </row>
    <row r="24" spans="10:12" x14ac:dyDescent="0.6">
      <c r="J24" s="101"/>
      <c r="L24" s="101"/>
    </row>
    <row r="25" spans="10:12" x14ac:dyDescent="0.6">
      <c r="J25" s="101"/>
      <c r="L25" s="101"/>
    </row>
    <row r="26" spans="10:12" x14ac:dyDescent="0.6">
      <c r="J26" s="101"/>
      <c r="L26" s="101"/>
    </row>
    <row r="27" spans="10:12" x14ac:dyDescent="0.6">
      <c r="J27" s="101"/>
      <c r="L27" s="101"/>
    </row>
    <row r="28" spans="10:12" x14ac:dyDescent="0.6">
      <c r="J28" s="101"/>
      <c r="L28" s="101"/>
    </row>
    <row r="29" spans="10:12" x14ac:dyDescent="0.6">
      <c r="J29" s="101"/>
      <c r="L29" s="101"/>
    </row>
    <row r="30" spans="10:12" x14ac:dyDescent="0.6">
      <c r="J30" s="101"/>
      <c r="L30" s="101"/>
    </row>
    <row r="31" spans="10:12" x14ac:dyDescent="0.6">
      <c r="J31" s="101"/>
      <c r="L31" s="101"/>
    </row>
    <row r="32" spans="10:12" x14ac:dyDescent="0.6">
      <c r="J32" s="101"/>
      <c r="L32" s="101"/>
    </row>
    <row r="33" spans="10:12" x14ac:dyDescent="0.6">
      <c r="J33" s="101"/>
      <c r="L33" s="101"/>
    </row>
    <row r="34" spans="10:12" x14ac:dyDescent="0.6">
      <c r="J34" s="101"/>
      <c r="L34" s="101"/>
    </row>
    <row r="35" spans="10:12" x14ac:dyDescent="0.6">
      <c r="J35" s="101"/>
      <c r="L35" s="101"/>
    </row>
    <row r="36" spans="10:12" x14ac:dyDescent="0.6">
      <c r="J36" s="101"/>
      <c r="L36" s="101"/>
    </row>
    <row r="37" spans="10:12" x14ac:dyDescent="0.6">
      <c r="J37" s="101"/>
      <c r="L37" s="101"/>
    </row>
    <row r="38" spans="10:12" x14ac:dyDescent="0.6">
      <c r="J38" s="101"/>
      <c r="L38" s="101"/>
    </row>
    <row r="39" spans="10:12" x14ac:dyDescent="0.6">
      <c r="J39" s="101"/>
      <c r="L39" s="101"/>
    </row>
    <row r="40" spans="10:12" x14ac:dyDescent="0.6">
      <c r="J40" s="101"/>
      <c r="L40" s="101"/>
    </row>
    <row r="41" spans="10:12" x14ac:dyDescent="0.6">
      <c r="J41" s="101"/>
      <c r="L41" s="101"/>
    </row>
    <row r="42" spans="10:12" x14ac:dyDescent="0.6">
      <c r="J42" s="101"/>
      <c r="L42" s="101"/>
    </row>
    <row r="43" spans="10:12" x14ac:dyDescent="0.6">
      <c r="J43" s="101"/>
      <c r="L43" s="101"/>
    </row>
    <row r="44" spans="10:12" x14ac:dyDescent="0.6">
      <c r="J44" s="101"/>
    </row>
    <row r="45" spans="10:12" x14ac:dyDescent="0.6">
      <c r="J45" s="101"/>
    </row>
    <row r="46" spans="10:12" x14ac:dyDescent="0.6">
      <c r="J46" s="101"/>
    </row>
    <row r="47" spans="10:12" x14ac:dyDescent="0.6">
      <c r="J47" s="101"/>
    </row>
    <row r="48" spans="10:12" x14ac:dyDescent="0.6">
      <c r="J48" s="101"/>
    </row>
    <row r="49" spans="10:10" x14ac:dyDescent="0.6">
      <c r="J49" s="101"/>
    </row>
    <row r="50" spans="10:10" x14ac:dyDescent="0.6">
      <c r="J50" s="101"/>
    </row>
    <row r="51" spans="10:10" x14ac:dyDescent="0.6">
      <c r="J51" s="101"/>
    </row>
    <row r="52" spans="10:10" x14ac:dyDescent="0.6">
      <c r="J52" s="101"/>
    </row>
    <row r="53" spans="10:10" x14ac:dyDescent="0.6">
      <c r="J53" s="101"/>
    </row>
    <row r="54" spans="10:10" x14ac:dyDescent="0.6">
      <c r="J54" s="101"/>
    </row>
    <row r="55" spans="10:10" x14ac:dyDescent="0.6">
      <c r="J55" s="101"/>
    </row>
    <row r="56" spans="10:10" x14ac:dyDescent="0.6">
      <c r="J56" s="101"/>
    </row>
    <row r="57" spans="10:10" x14ac:dyDescent="0.6">
      <c r="J57" s="101"/>
    </row>
    <row r="58" spans="10:10" x14ac:dyDescent="0.6">
      <c r="J58" s="101"/>
    </row>
    <row r="59" spans="10:10" x14ac:dyDescent="0.6">
      <c r="J59" s="101"/>
    </row>
    <row r="60" spans="10:10" x14ac:dyDescent="0.6">
      <c r="J60" s="101"/>
    </row>
    <row r="61" spans="10:10" x14ac:dyDescent="0.6">
      <c r="J61" s="101"/>
    </row>
    <row r="62" spans="10:10" x14ac:dyDescent="0.6">
      <c r="J62" s="101"/>
    </row>
    <row r="63" spans="10:10" x14ac:dyDescent="0.6">
      <c r="J63" s="101"/>
    </row>
    <row r="64" spans="10:10" x14ac:dyDescent="0.6">
      <c r="J64" s="101"/>
    </row>
    <row r="65" spans="10:10" x14ac:dyDescent="0.6">
      <c r="J65" s="101"/>
    </row>
    <row r="66" spans="10:10" x14ac:dyDescent="0.6">
      <c r="J66" s="101"/>
    </row>
    <row r="67" spans="10:10" x14ac:dyDescent="0.6">
      <c r="J67" s="101"/>
    </row>
    <row r="68" spans="10:10" x14ac:dyDescent="0.6">
      <c r="J68" s="101"/>
    </row>
    <row r="69" spans="10:10" x14ac:dyDescent="0.6">
      <c r="J69" s="101"/>
    </row>
    <row r="70" spans="10:10" x14ac:dyDescent="0.6">
      <c r="J70" s="101"/>
    </row>
    <row r="71" spans="10:10" x14ac:dyDescent="0.6">
      <c r="J71" s="101"/>
    </row>
    <row r="72" spans="10:10" x14ac:dyDescent="0.6">
      <c r="J72" s="101"/>
    </row>
    <row r="73" spans="10:10" x14ac:dyDescent="0.6">
      <c r="J73" s="101"/>
    </row>
    <row r="74" spans="10:10" x14ac:dyDescent="0.6">
      <c r="J74" s="101"/>
    </row>
    <row r="75" spans="10:10" x14ac:dyDescent="0.6">
      <c r="J75" s="101"/>
    </row>
    <row r="76" spans="10:10" x14ac:dyDescent="0.6">
      <c r="J76" s="101"/>
    </row>
    <row r="77" spans="10:10" x14ac:dyDescent="0.6">
      <c r="J77" s="101"/>
    </row>
    <row r="78" spans="10:10" x14ac:dyDescent="0.6">
      <c r="J78" s="101"/>
    </row>
    <row r="79" spans="10:10" x14ac:dyDescent="0.6">
      <c r="J79" s="101"/>
    </row>
    <row r="80" spans="10:10" x14ac:dyDescent="0.6">
      <c r="J80" s="101"/>
    </row>
    <row r="81" spans="10:10" x14ac:dyDescent="0.6">
      <c r="J81" s="101"/>
    </row>
    <row r="82" spans="10:10" x14ac:dyDescent="0.6">
      <c r="J82" s="101"/>
    </row>
    <row r="83" spans="10:10" x14ac:dyDescent="0.6">
      <c r="J83" s="101"/>
    </row>
    <row r="84" spans="10:10" x14ac:dyDescent="0.6">
      <c r="J84" s="101"/>
    </row>
    <row r="85" spans="10:10" x14ac:dyDescent="0.6">
      <c r="J85" s="101"/>
    </row>
    <row r="86" spans="10:10" x14ac:dyDescent="0.6">
      <c r="J86" s="101"/>
    </row>
    <row r="87" spans="10:10" x14ac:dyDescent="0.6">
      <c r="J87" s="101"/>
    </row>
    <row r="88" spans="10:10" x14ac:dyDescent="0.6">
      <c r="J88" s="101"/>
    </row>
    <row r="89" spans="10:10" x14ac:dyDescent="0.6">
      <c r="J89" s="101"/>
    </row>
    <row r="90" spans="10:10" x14ac:dyDescent="0.6">
      <c r="J90" s="101"/>
    </row>
    <row r="91" spans="10:10" x14ac:dyDescent="0.6">
      <c r="J91" s="101"/>
    </row>
    <row r="92" spans="10:10" x14ac:dyDescent="0.6">
      <c r="J92" s="101"/>
    </row>
    <row r="93" spans="10:10" x14ac:dyDescent="0.6">
      <c r="J93" s="101"/>
    </row>
    <row r="94" spans="10:10" x14ac:dyDescent="0.6">
      <c r="J94" s="101"/>
    </row>
    <row r="95" spans="10:10" x14ac:dyDescent="0.6">
      <c r="J95" s="101"/>
    </row>
    <row r="96" spans="10:10" x14ac:dyDescent="0.6">
      <c r="J96" s="101"/>
    </row>
    <row r="97" spans="10:10" x14ac:dyDescent="0.6">
      <c r="J97" s="101"/>
    </row>
    <row r="98" spans="10:10" x14ac:dyDescent="0.6">
      <c r="J98" s="101"/>
    </row>
    <row r="99" spans="10:10" x14ac:dyDescent="0.6">
      <c r="J99" s="101"/>
    </row>
    <row r="100" spans="10:10" x14ac:dyDescent="0.6">
      <c r="J100" s="101"/>
    </row>
    <row r="101" spans="10:10" x14ac:dyDescent="0.6">
      <c r="J101" s="101"/>
    </row>
    <row r="102" spans="10:10" x14ac:dyDescent="0.6">
      <c r="J102" s="101"/>
    </row>
    <row r="103" spans="10:10" x14ac:dyDescent="0.6">
      <c r="J103" s="101"/>
    </row>
    <row r="104" spans="10:10" x14ac:dyDescent="0.6">
      <c r="J104" s="101"/>
    </row>
    <row r="105" spans="10:10" x14ac:dyDescent="0.6">
      <c r="J105" s="101"/>
    </row>
    <row r="106" spans="10:10" x14ac:dyDescent="0.6">
      <c r="J106" s="101"/>
    </row>
    <row r="107" spans="10:10" x14ac:dyDescent="0.6">
      <c r="J107" s="101"/>
    </row>
    <row r="108" spans="10:10" x14ac:dyDescent="0.6">
      <c r="J108" s="101"/>
    </row>
    <row r="109" spans="10:10" x14ac:dyDescent="0.6">
      <c r="J109" s="101"/>
    </row>
    <row r="110" spans="10:10" x14ac:dyDescent="0.6">
      <c r="J110" s="101"/>
    </row>
    <row r="111" spans="10:10" x14ac:dyDescent="0.6">
      <c r="J111" s="101"/>
    </row>
    <row r="112" spans="10:10" x14ac:dyDescent="0.6">
      <c r="J112" s="101"/>
    </row>
    <row r="113" spans="10:10" x14ac:dyDescent="0.6">
      <c r="J113" s="101"/>
    </row>
    <row r="114" spans="10:10" x14ac:dyDescent="0.6">
      <c r="J114" s="101"/>
    </row>
    <row r="115" spans="10:10" x14ac:dyDescent="0.6">
      <c r="J115" s="101"/>
    </row>
    <row r="116" spans="10:10" x14ac:dyDescent="0.6">
      <c r="J116" s="101"/>
    </row>
    <row r="117" spans="10:10" x14ac:dyDescent="0.6">
      <c r="J117" s="101"/>
    </row>
    <row r="118" spans="10:10" x14ac:dyDescent="0.6">
      <c r="J118" s="101"/>
    </row>
    <row r="119" spans="10:10" x14ac:dyDescent="0.6">
      <c r="J119" s="101"/>
    </row>
    <row r="120" spans="10:10" x14ac:dyDescent="0.6">
      <c r="J120" s="101"/>
    </row>
    <row r="121" spans="10:10" x14ac:dyDescent="0.6">
      <c r="J121" s="101"/>
    </row>
    <row r="122" spans="10:10" x14ac:dyDescent="0.6">
      <c r="J122" s="101"/>
    </row>
    <row r="123" spans="10:10" x14ac:dyDescent="0.6">
      <c r="J123" s="101"/>
    </row>
    <row r="124" spans="10:10" x14ac:dyDescent="0.6">
      <c r="J124" s="101"/>
    </row>
    <row r="125" spans="10:10" x14ac:dyDescent="0.6">
      <c r="J125" s="101"/>
    </row>
    <row r="126" spans="10:10" x14ac:dyDescent="0.6">
      <c r="J126" s="101"/>
    </row>
    <row r="127" spans="10:10" x14ac:dyDescent="0.6">
      <c r="J127" s="101"/>
    </row>
    <row r="128" spans="10:10" x14ac:dyDescent="0.6">
      <c r="J128" s="101"/>
    </row>
    <row r="129" spans="10:10" x14ac:dyDescent="0.6">
      <c r="J129" s="101"/>
    </row>
    <row r="130" spans="10:10" x14ac:dyDescent="0.6">
      <c r="J130" s="101"/>
    </row>
    <row r="131" spans="10:10" x14ac:dyDescent="0.6">
      <c r="J131" s="101"/>
    </row>
    <row r="132" spans="10:10" x14ac:dyDescent="0.6">
      <c r="J132" s="101"/>
    </row>
    <row r="133" spans="10:10" x14ac:dyDescent="0.6">
      <c r="J133" s="101"/>
    </row>
    <row r="134" spans="10:10" x14ac:dyDescent="0.6">
      <c r="J134" s="101"/>
    </row>
    <row r="135" spans="10:10" x14ac:dyDescent="0.6">
      <c r="J135" s="101"/>
    </row>
    <row r="136" spans="10:10" x14ac:dyDescent="0.6">
      <c r="J136" s="101"/>
    </row>
    <row r="137" spans="10:10" x14ac:dyDescent="0.6">
      <c r="J137" s="101"/>
    </row>
    <row r="138" spans="10:10" x14ac:dyDescent="0.6">
      <c r="J138" s="101"/>
    </row>
    <row r="139" spans="10:10" x14ac:dyDescent="0.6">
      <c r="J139" s="101"/>
    </row>
    <row r="140" spans="10:10" x14ac:dyDescent="0.6">
      <c r="J140" s="101"/>
    </row>
    <row r="141" spans="10:10" x14ac:dyDescent="0.6">
      <c r="J141" s="101"/>
    </row>
    <row r="142" spans="10:10" x14ac:dyDescent="0.6">
      <c r="J142" s="101"/>
    </row>
    <row r="143" spans="10:10" x14ac:dyDescent="0.6">
      <c r="J143" s="101"/>
    </row>
    <row r="144" spans="10:10" x14ac:dyDescent="0.6">
      <c r="J144" s="101"/>
    </row>
    <row r="145" spans="10:10" x14ac:dyDescent="0.6">
      <c r="J145" s="101"/>
    </row>
    <row r="163" spans="10:10" x14ac:dyDescent="0.6">
      <c r="J163" s="101"/>
    </row>
    <row r="164" spans="10:10" x14ac:dyDescent="0.6">
      <c r="J164" s="101"/>
    </row>
    <row r="165" spans="10:10" x14ac:dyDescent="0.6">
      <c r="J165" s="101"/>
    </row>
    <row r="166" spans="10:10" x14ac:dyDescent="0.6">
      <c r="J166" s="101"/>
    </row>
    <row r="167" spans="10:10" x14ac:dyDescent="0.6">
      <c r="J167" s="101"/>
    </row>
    <row r="168" spans="10:10" x14ac:dyDescent="0.6">
      <c r="J168" s="101"/>
    </row>
    <row r="169" spans="10:10" x14ac:dyDescent="0.6">
      <c r="J169" s="101"/>
    </row>
    <row r="170" spans="10:10" x14ac:dyDescent="0.6">
      <c r="J170" s="101"/>
    </row>
    <row r="171" spans="10:10" x14ac:dyDescent="0.6">
      <c r="J171" s="101"/>
    </row>
    <row r="172" spans="10:10" x14ac:dyDescent="0.6">
      <c r="J172" s="101"/>
    </row>
    <row r="173" spans="10:10" x14ac:dyDescent="0.6">
      <c r="J173" s="101"/>
    </row>
    <row r="174" spans="10:10" x14ac:dyDescent="0.6">
      <c r="J174" s="101"/>
    </row>
    <row r="175" spans="10:10" x14ac:dyDescent="0.6">
      <c r="J175" s="101"/>
    </row>
    <row r="176" spans="10:10" x14ac:dyDescent="0.6">
      <c r="J176" s="101"/>
    </row>
    <row r="177" spans="10:10" x14ac:dyDescent="0.6">
      <c r="J177" s="101"/>
    </row>
    <row r="178" spans="10:10" x14ac:dyDescent="0.6">
      <c r="J178" s="101"/>
    </row>
    <row r="179" spans="10:10" x14ac:dyDescent="0.6">
      <c r="J179" s="101"/>
    </row>
    <row r="180" spans="10:10" x14ac:dyDescent="0.6">
      <c r="J180" s="101"/>
    </row>
    <row r="181" spans="10:10" x14ac:dyDescent="0.6">
      <c r="J181" s="101"/>
    </row>
    <row r="182" spans="10:10" x14ac:dyDescent="0.6">
      <c r="J182" s="101"/>
    </row>
    <row r="183" spans="10:10" x14ac:dyDescent="0.6">
      <c r="J183" s="101"/>
    </row>
    <row r="184" spans="10:10" x14ac:dyDescent="0.6">
      <c r="J184" s="101"/>
    </row>
    <row r="185" spans="10:10" x14ac:dyDescent="0.6">
      <c r="J185" s="101"/>
    </row>
    <row r="186" spans="10:10" x14ac:dyDescent="0.6">
      <c r="J186" s="101"/>
    </row>
    <row r="187" spans="10:10" x14ac:dyDescent="0.6">
      <c r="J187" s="101"/>
    </row>
    <row r="188" spans="10:10" x14ac:dyDescent="0.6">
      <c r="J188" s="101"/>
    </row>
    <row r="189" spans="10:10" x14ac:dyDescent="0.6">
      <c r="J189" s="101"/>
    </row>
    <row r="190" spans="10:10" x14ac:dyDescent="0.6">
      <c r="J190" s="101"/>
    </row>
    <row r="191" spans="10:10" x14ac:dyDescent="0.6">
      <c r="J191" s="101"/>
    </row>
    <row r="192" spans="10:10" x14ac:dyDescent="0.6">
      <c r="J192" s="101"/>
    </row>
    <row r="193" spans="10:10" x14ac:dyDescent="0.6">
      <c r="J193" s="101"/>
    </row>
    <row r="194" spans="10:10" x14ac:dyDescent="0.6">
      <c r="J194" s="101"/>
    </row>
    <row r="195" spans="10:10" x14ac:dyDescent="0.6">
      <c r="J195" s="101"/>
    </row>
    <row r="196" spans="10:10" x14ac:dyDescent="0.6">
      <c r="J196" s="101"/>
    </row>
    <row r="197" spans="10:10" x14ac:dyDescent="0.6">
      <c r="J197" s="101"/>
    </row>
    <row r="198" spans="10:10" x14ac:dyDescent="0.6">
      <c r="J198" s="101"/>
    </row>
    <row r="199" spans="10:10" x14ac:dyDescent="0.6">
      <c r="J199" s="101"/>
    </row>
    <row r="200" spans="10:10" x14ac:dyDescent="0.6">
      <c r="J200" s="101"/>
    </row>
    <row r="201" spans="10:10" x14ac:dyDescent="0.6">
      <c r="J201" s="101"/>
    </row>
    <row r="202" spans="10:10" x14ac:dyDescent="0.6">
      <c r="J202" s="101"/>
    </row>
    <row r="203" spans="10:10" x14ac:dyDescent="0.6">
      <c r="J203" s="101"/>
    </row>
    <row r="204" spans="10:10" x14ac:dyDescent="0.6">
      <c r="J204" s="101"/>
    </row>
    <row r="205" spans="10:10" x14ac:dyDescent="0.6">
      <c r="J205" s="101"/>
    </row>
    <row r="206" spans="10:10" x14ac:dyDescent="0.6">
      <c r="J206" s="101"/>
    </row>
    <row r="207" spans="10:10" x14ac:dyDescent="0.6">
      <c r="J207" s="101"/>
    </row>
    <row r="208" spans="10:10" x14ac:dyDescent="0.6">
      <c r="J208" s="101"/>
    </row>
    <row r="209" spans="10:10" x14ac:dyDescent="0.6">
      <c r="J209" s="101"/>
    </row>
    <row r="210" spans="10:10" x14ac:dyDescent="0.6">
      <c r="J210" s="101"/>
    </row>
    <row r="211" spans="10:10" x14ac:dyDescent="0.6">
      <c r="J211" s="101"/>
    </row>
    <row r="212" spans="10:10" x14ac:dyDescent="0.6">
      <c r="J212" s="101"/>
    </row>
    <row r="213" spans="10:10" x14ac:dyDescent="0.6">
      <c r="J213" s="101"/>
    </row>
    <row r="214" spans="10:10" x14ac:dyDescent="0.6">
      <c r="J214" s="101"/>
    </row>
    <row r="215" spans="10:10" x14ac:dyDescent="0.6">
      <c r="J215" s="101"/>
    </row>
    <row r="216" spans="10:10" x14ac:dyDescent="0.6">
      <c r="J216" s="101"/>
    </row>
    <row r="217" spans="10:10" x14ac:dyDescent="0.6">
      <c r="J217" s="101"/>
    </row>
    <row r="218" spans="10:10" x14ac:dyDescent="0.6">
      <c r="J218" s="101"/>
    </row>
    <row r="219" spans="10:10" x14ac:dyDescent="0.6">
      <c r="J219" s="101"/>
    </row>
    <row r="220" spans="10:10" x14ac:dyDescent="0.6">
      <c r="J220" s="101"/>
    </row>
    <row r="221" spans="10:10" x14ac:dyDescent="0.6">
      <c r="J221" s="101"/>
    </row>
    <row r="222" spans="10:10" x14ac:dyDescent="0.6">
      <c r="J222" s="101"/>
    </row>
    <row r="223" spans="10:10" x14ac:dyDescent="0.6">
      <c r="J223" s="101"/>
    </row>
    <row r="224" spans="10:10" x14ac:dyDescent="0.6">
      <c r="J224" s="101"/>
    </row>
    <row r="225" spans="10:10" x14ac:dyDescent="0.6">
      <c r="J225" s="101"/>
    </row>
    <row r="226" spans="10:10" x14ac:dyDescent="0.6">
      <c r="J226" s="101"/>
    </row>
    <row r="227" spans="10:10" x14ac:dyDescent="0.6">
      <c r="J227" s="101"/>
    </row>
    <row r="228" spans="10:10" x14ac:dyDescent="0.6">
      <c r="J228" s="101"/>
    </row>
    <row r="229" spans="10:10" x14ac:dyDescent="0.6">
      <c r="J229" s="101"/>
    </row>
    <row r="230" spans="10:10" x14ac:dyDescent="0.6">
      <c r="J230" s="101"/>
    </row>
    <row r="231" spans="10:10" x14ac:dyDescent="0.6">
      <c r="J231" s="101"/>
    </row>
    <row r="232" spans="10:10" x14ac:dyDescent="0.6">
      <c r="J232" s="101"/>
    </row>
    <row r="233" spans="10:10" x14ac:dyDescent="0.6">
      <c r="J233" s="101"/>
    </row>
    <row r="234" spans="10:10" x14ac:dyDescent="0.6">
      <c r="J234" s="101"/>
    </row>
    <row r="235" spans="10:10" x14ac:dyDescent="0.6">
      <c r="J235" s="101"/>
    </row>
    <row r="236" spans="10:10" x14ac:dyDescent="0.6">
      <c r="J236" s="101"/>
    </row>
    <row r="237" spans="10:10" x14ac:dyDescent="0.6">
      <c r="J237" s="101"/>
    </row>
    <row r="238" spans="10:10" x14ac:dyDescent="0.6">
      <c r="J238" s="101"/>
    </row>
    <row r="239" spans="10:10" x14ac:dyDescent="0.6">
      <c r="J239" s="101"/>
    </row>
    <row r="240" spans="10:10" x14ac:dyDescent="0.6">
      <c r="J240" s="101"/>
    </row>
    <row r="241" spans="10:10" x14ac:dyDescent="0.6">
      <c r="J241" s="101"/>
    </row>
    <row r="242" spans="10:10" x14ac:dyDescent="0.6">
      <c r="J242" s="101"/>
    </row>
    <row r="243" spans="10:10" x14ac:dyDescent="0.6">
      <c r="J243" s="101"/>
    </row>
    <row r="244" spans="10:10" x14ac:dyDescent="0.6">
      <c r="J244" s="101"/>
    </row>
    <row r="245" spans="10:10" x14ac:dyDescent="0.6">
      <c r="J245" s="101"/>
    </row>
    <row r="246" spans="10:10" x14ac:dyDescent="0.6">
      <c r="J246" s="10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B621-8D43-4563-B11B-929198BBE962}">
  <dimension ref="A1:E26"/>
  <sheetViews>
    <sheetView workbookViewId="0">
      <pane ySplit="1" topLeftCell="A19" activePane="bottomLeft" state="frozen"/>
      <selection pane="bottomLeft" activeCell="K7" sqref="K7"/>
    </sheetView>
  </sheetViews>
  <sheetFormatPr defaultRowHeight="14.4" x14ac:dyDescent="0.3"/>
  <cols>
    <col min="1" max="1" width="9.109375" bestFit="1" customWidth="1"/>
    <col min="2" max="2" width="10.44140625" bestFit="1" customWidth="1"/>
    <col min="3" max="3" width="9.88671875" customWidth="1"/>
    <col min="4" max="4" width="11" bestFit="1" customWidth="1"/>
    <col min="5" max="5" width="11.21875" customWidth="1"/>
  </cols>
  <sheetData>
    <row r="1" spans="1:5" ht="21" x14ac:dyDescent="0.6">
      <c r="A1" s="37" t="s">
        <v>59</v>
      </c>
      <c r="B1" s="37" t="s">
        <v>60</v>
      </c>
      <c r="C1" s="37" t="s">
        <v>61</v>
      </c>
      <c r="D1" s="37" t="s">
        <v>62</v>
      </c>
      <c r="E1" s="37" t="s">
        <v>63</v>
      </c>
    </row>
    <row r="2" spans="1:5" ht="21" x14ac:dyDescent="0.6">
      <c r="A2" s="37">
        <v>1</v>
      </c>
      <c r="B2" s="37" t="s">
        <v>64</v>
      </c>
      <c r="C2" s="37">
        <v>1</v>
      </c>
      <c r="D2" s="37">
        <v>2000</v>
      </c>
      <c r="E2" s="37">
        <v>800</v>
      </c>
    </row>
    <row r="3" spans="1:5" ht="21" x14ac:dyDescent="0.6">
      <c r="A3" s="37">
        <v>2</v>
      </c>
      <c r="B3" s="37" t="s">
        <v>65</v>
      </c>
      <c r="C3" s="37">
        <v>1</v>
      </c>
      <c r="D3" s="37">
        <v>2000</v>
      </c>
      <c r="E3" s="37">
        <v>700</v>
      </c>
    </row>
    <row r="4" spans="1:5" ht="21" x14ac:dyDescent="0.6">
      <c r="A4" s="37">
        <v>3</v>
      </c>
      <c r="B4" s="37" t="s">
        <v>66</v>
      </c>
      <c r="C4" s="37">
        <v>1</v>
      </c>
      <c r="D4" s="37">
        <v>2000</v>
      </c>
      <c r="E4" s="37">
        <v>800</v>
      </c>
    </row>
    <row r="5" spans="1:5" ht="21" x14ac:dyDescent="0.6">
      <c r="A5" s="37">
        <v>4</v>
      </c>
      <c r="B5" s="37" t="s">
        <v>64</v>
      </c>
      <c r="C5" s="37">
        <v>2001</v>
      </c>
      <c r="D5" s="37">
        <v>4000</v>
      </c>
      <c r="E5" s="37">
        <v>825</v>
      </c>
    </row>
    <row r="6" spans="1:5" ht="21" x14ac:dyDescent="0.6">
      <c r="A6" s="37">
        <v>5</v>
      </c>
      <c r="B6" s="37" t="s">
        <v>65</v>
      </c>
      <c r="C6" s="37">
        <v>2001</v>
      </c>
      <c r="D6" s="37">
        <v>4000</v>
      </c>
      <c r="E6" s="37">
        <v>725</v>
      </c>
    </row>
    <row r="7" spans="1:5" ht="21" x14ac:dyDescent="0.6">
      <c r="A7" s="37">
        <v>6</v>
      </c>
      <c r="B7" s="37" t="s">
        <v>66</v>
      </c>
      <c r="C7" s="37">
        <v>2001</v>
      </c>
      <c r="D7" s="37">
        <v>4000</v>
      </c>
      <c r="E7" s="37">
        <v>825</v>
      </c>
    </row>
    <row r="8" spans="1:5" ht="21" x14ac:dyDescent="0.6">
      <c r="A8" s="37">
        <v>7</v>
      </c>
      <c r="B8" s="37" t="s">
        <v>64</v>
      </c>
      <c r="C8" s="37">
        <v>4001</v>
      </c>
      <c r="D8" s="37">
        <v>6000</v>
      </c>
      <c r="E8" s="37">
        <v>850</v>
      </c>
    </row>
    <row r="9" spans="1:5" ht="21" x14ac:dyDescent="0.6">
      <c r="A9" s="37">
        <v>8</v>
      </c>
      <c r="B9" s="37" t="s">
        <v>65</v>
      </c>
      <c r="C9" s="37">
        <v>4001</v>
      </c>
      <c r="D9" s="37">
        <v>6000</v>
      </c>
      <c r="E9" s="37">
        <v>750</v>
      </c>
    </row>
    <row r="10" spans="1:5" ht="21" x14ac:dyDescent="0.6">
      <c r="A10" s="37">
        <v>9</v>
      </c>
      <c r="B10" s="37" t="s">
        <v>66</v>
      </c>
      <c r="C10" s="37">
        <v>4001</v>
      </c>
      <c r="D10" s="37">
        <v>6000</v>
      </c>
      <c r="E10" s="37">
        <v>850</v>
      </c>
    </row>
    <row r="11" spans="1:5" ht="21" x14ac:dyDescent="0.6">
      <c r="A11" s="37">
        <v>10</v>
      </c>
      <c r="B11" s="37" t="s">
        <v>64</v>
      </c>
      <c r="C11" s="37">
        <v>6001</v>
      </c>
      <c r="D11" s="37">
        <v>8000</v>
      </c>
      <c r="E11" s="37">
        <v>900</v>
      </c>
    </row>
    <row r="12" spans="1:5" ht="21" x14ac:dyDescent="0.6">
      <c r="A12" s="37">
        <v>11</v>
      </c>
      <c r="B12" s="37" t="s">
        <v>65</v>
      </c>
      <c r="C12" s="37">
        <v>6001</v>
      </c>
      <c r="D12" s="37">
        <v>8000</v>
      </c>
      <c r="E12" s="37">
        <v>775</v>
      </c>
    </row>
    <row r="13" spans="1:5" ht="21" x14ac:dyDescent="0.6">
      <c r="A13" s="37">
        <v>12</v>
      </c>
      <c r="B13" s="37" t="s">
        <v>66</v>
      </c>
      <c r="C13" s="37">
        <v>6001</v>
      </c>
      <c r="D13" s="37">
        <v>8000</v>
      </c>
      <c r="E13" s="37">
        <v>900</v>
      </c>
    </row>
    <row r="14" spans="1:5" ht="21" x14ac:dyDescent="0.6">
      <c r="A14" s="37">
        <v>13</v>
      </c>
      <c r="B14" s="37" t="s">
        <v>64</v>
      </c>
      <c r="C14" s="37">
        <v>8001</v>
      </c>
      <c r="D14" s="37">
        <v>1000000000</v>
      </c>
      <c r="E14" s="37">
        <v>950</v>
      </c>
    </row>
    <row r="15" spans="1:5" ht="21" x14ac:dyDescent="0.6">
      <c r="A15" s="37">
        <v>14</v>
      </c>
      <c r="B15" s="37" t="s">
        <v>65</v>
      </c>
      <c r="C15" s="37">
        <v>8001</v>
      </c>
      <c r="D15" s="37">
        <v>1000000000</v>
      </c>
      <c r="E15" s="37">
        <v>800</v>
      </c>
    </row>
    <row r="16" spans="1:5" ht="21" x14ac:dyDescent="0.6">
      <c r="A16" s="37">
        <v>15</v>
      </c>
      <c r="B16" s="37" t="s">
        <v>66</v>
      </c>
      <c r="C16" s="37">
        <v>8001</v>
      </c>
      <c r="D16" s="37">
        <v>1000000000</v>
      </c>
      <c r="E16" s="37">
        <v>950</v>
      </c>
    </row>
    <row r="17" spans="1:5" ht="21" x14ac:dyDescent="0.6">
      <c r="A17" s="37">
        <v>16</v>
      </c>
      <c r="B17" s="37" t="s">
        <v>67</v>
      </c>
      <c r="C17" s="37">
        <v>1</v>
      </c>
      <c r="D17" s="37">
        <v>1000000000</v>
      </c>
      <c r="E17" s="37">
        <v>500</v>
      </c>
    </row>
    <row r="18" spans="1:5" ht="21" x14ac:dyDescent="0.6">
      <c r="A18" s="37">
        <v>17</v>
      </c>
      <c r="B18" s="37" t="s">
        <v>68</v>
      </c>
      <c r="C18" s="37">
        <v>1</v>
      </c>
      <c r="D18" s="37">
        <v>1000000000</v>
      </c>
      <c r="E18" s="37">
        <v>1000</v>
      </c>
    </row>
    <row r="19" spans="1:5" ht="21" x14ac:dyDescent="0.6">
      <c r="A19" s="37">
        <v>18</v>
      </c>
      <c r="B19" s="37" t="s">
        <v>69</v>
      </c>
      <c r="C19" s="37">
        <v>1</v>
      </c>
      <c r="D19" s="37">
        <v>1000000000</v>
      </c>
      <c r="E19" s="37">
        <v>1000</v>
      </c>
    </row>
    <row r="20" spans="1:5" ht="21" x14ac:dyDescent="0.6">
      <c r="A20" s="37">
        <v>19</v>
      </c>
      <c r="B20" s="37" t="s">
        <v>70</v>
      </c>
      <c r="C20" s="37">
        <v>1</v>
      </c>
      <c r="D20" s="37">
        <v>1000000000</v>
      </c>
      <c r="E20" s="37">
        <v>1000</v>
      </c>
    </row>
    <row r="21" spans="1:5" ht="21" x14ac:dyDescent="0.6">
      <c r="A21" s="37">
        <v>20</v>
      </c>
      <c r="B21" s="37" t="s">
        <v>71</v>
      </c>
      <c r="C21" s="37">
        <v>1</v>
      </c>
      <c r="D21" s="37">
        <v>1000000000</v>
      </c>
      <c r="E21" s="37">
        <v>200</v>
      </c>
    </row>
    <row r="22" spans="1:5" ht="21" x14ac:dyDescent="0.6">
      <c r="A22" s="37">
        <v>21</v>
      </c>
      <c r="B22" s="37" t="s">
        <v>72</v>
      </c>
      <c r="C22" s="37">
        <v>1</v>
      </c>
      <c r="D22" s="37">
        <v>1000000000</v>
      </c>
      <c r="E22" s="37">
        <v>1500</v>
      </c>
    </row>
    <row r="23" spans="1:5" ht="21" x14ac:dyDescent="0.6">
      <c r="A23" s="37">
        <v>22</v>
      </c>
      <c r="B23" s="37" t="s">
        <v>73</v>
      </c>
      <c r="C23" s="37">
        <v>1</v>
      </c>
      <c r="D23" s="37">
        <v>1000000000</v>
      </c>
      <c r="E23" s="37">
        <v>2000</v>
      </c>
    </row>
    <row r="24" spans="1:5" ht="21" x14ac:dyDescent="0.6">
      <c r="A24" s="37">
        <v>23</v>
      </c>
      <c r="B24" s="37" t="s">
        <v>74</v>
      </c>
      <c r="C24" s="37">
        <v>1</v>
      </c>
      <c r="D24" s="37">
        <v>1000000000</v>
      </c>
      <c r="E24" s="37">
        <v>3000</v>
      </c>
    </row>
    <row r="25" spans="1:5" ht="21" x14ac:dyDescent="0.6">
      <c r="A25" s="37">
        <v>24</v>
      </c>
      <c r="B25" s="37" t="s">
        <v>75</v>
      </c>
      <c r="C25" s="37">
        <v>1</v>
      </c>
      <c r="D25" s="37">
        <v>1000000000</v>
      </c>
      <c r="E25" s="37">
        <v>600</v>
      </c>
    </row>
    <row r="26" spans="1:5" ht="21" x14ac:dyDescent="0.6">
      <c r="A26" s="37">
        <v>25</v>
      </c>
      <c r="B26" s="37" t="s">
        <v>76</v>
      </c>
      <c r="C26" s="37">
        <v>1</v>
      </c>
      <c r="D26" s="37">
        <v>1000000000</v>
      </c>
      <c r="E26" s="37">
        <v>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เพิ่มประเภทพิมพ์ Konica</vt:lpstr>
      <vt:lpstr>เพิ่มกระดาษ Sticker</vt:lpstr>
      <vt:lpstr>Min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Sarawanee</dc:creator>
  <cp:lastModifiedBy>Programmer</cp:lastModifiedBy>
  <dcterms:created xsi:type="dcterms:W3CDTF">2022-06-21T09:33:21Z</dcterms:created>
  <dcterms:modified xsi:type="dcterms:W3CDTF">2024-07-26T08:11:20Z</dcterms:modified>
</cp:coreProperties>
</file>